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waterboards-my.sharepoint.com/personal/david_altare_waterboards_ca_gov/Documents/projects/water-data-challenge_projects-website/01_projects_repository/"/>
    </mc:Choice>
  </mc:AlternateContent>
  <xr:revisionPtr revIDLastSave="430" documentId="8_{E2CCDFA0-8D1D-46FA-9342-7A95E95D8855}" xr6:coauthVersionLast="47" xr6:coauthVersionMax="47" xr10:uidLastSave="{C8D2788C-ACD7-4413-A346-FDD1E0EEB658}"/>
  <bookViews>
    <workbookView xWindow="-110" yWindow="-110" windowWidth="19420" windowHeight="10420" activeTab="1" xr2:uid="{00000000-000D-0000-FFFF-FFFF00000000}"/>
  </bookViews>
  <sheets>
    <sheet name="ReadMe" sheetId="2" r:id="rId1"/>
    <sheet name="projects_table" sheetId="1" r:id="rId2"/>
    <sheet name="awards_table" sheetId="4" r:id="rId3"/>
    <sheet name="topics_table" sheetId="5" r:id="rId4"/>
    <sheet name="events_table" sheetId="6" r:id="rId5"/>
  </sheets>
  <functionGroups builtInGroupCount="19"/>
  <definedNames>
    <definedName name="_xlnm._FilterDatabase" localSheetId="1" hidden="1">projects_table!$A$1:$AH$1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6" l="1"/>
  <c r="D4" i="6"/>
  <c r="D5" i="6"/>
  <c r="D6" i="6"/>
  <c r="D2" i="6"/>
  <c r="I78" i="1"/>
  <c r="I77" i="1"/>
  <c r="I76" i="1"/>
  <c r="I74" i="1"/>
  <c r="I73" i="1"/>
  <c r="I72" i="1"/>
  <c r="I71" i="1"/>
  <c r="I70" i="1"/>
  <c r="I69" i="1"/>
  <c r="L43" i="1"/>
  <c r="L44" i="1"/>
  <c r="L25" i="1"/>
  <c r="L26" i="1"/>
  <c r="L27" i="1"/>
  <c r="L28" i="1"/>
  <c r="L29" i="1"/>
  <c r="L30" i="1"/>
  <c r="L31" i="1"/>
  <c r="L32" i="1"/>
  <c r="L33" i="1"/>
  <c r="L34" i="1"/>
  <c r="L35" i="1"/>
  <c r="L36" i="1"/>
  <c r="L37" i="1"/>
  <c r="L38" i="1"/>
  <c r="L39" i="1"/>
  <c r="L40" i="1"/>
  <c r="L41" i="1"/>
  <c r="L42" i="1"/>
  <c r="L45" i="1"/>
  <c r="L12" i="1"/>
  <c r="L13" i="1"/>
  <c r="L14" i="1"/>
  <c r="L15" i="1"/>
  <c r="L16" i="1"/>
  <c r="L17" i="1"/>
  <c r="L18" i="1"/>
  <c r="L19" i="1"/>
  <c r="L20" i="1"/>
  <c r="L21" i="1"/>
  <c r="L22" i="1"/>
  <c r="L23" i="1"/>
  <c r="L24" i="1"/>
  <c r="L11" i="1"/>
  <c r="L46" i="1"/>
  <c r="L47" i="1"/>
  <c r="L48" i="1"/>
  <c r="L61" i="1"/>
  <c r="L49" i="1"/>
  <c r="L50" i="1"/>
  <c r="L51" i="1"/>
  <c r="L57" i="1"/>
  <c r="L52" i="1"/>
  <c r="L62" i="1"/>
  <c r="L53" i="1"/>
  <c r="L63" i="1"/>
  <c r="L54" i="1"/>
  <c r="L55" i="1"/>
  <c r="L64" i="1"/>
  <c r="L65" i="1"/>
  <c r="L66" i="1"/>
  <c r="L56" i="1"/>
  <c r="L67" i="1"/>
  <c r="L68" i="1"/>
  <c r="L59" i="1"/>
  <c r="L60" i="1"/>
  <c r="L58" i="1"/>
  <c r="L5" i="1" a="1"/>
  <c r="L6" i="1" a="1"/>
  <c r="L7" i="1" a="1"/>
  <c r="L10" i="1" a="1"/>
  <c r="L4" i="1" a="1"/>
  <c r="L9" i="1" a="1"/>
  <c r="L3" i="1" a="1"/>
  <c r="L2" i="1" a="1"/>
  <c r="L8" i="1" a="1"/>
  <c r="L2" i="1" l="1"/>
  <c r="L6" i="1"/>
  <c r="L5" i="1"/>
  <c r="L10" i="1"/>
  <c r="L9" i="1"/>
  <c r="L4" i="1"/>
  <c r="L8" i="1"/>
  <c r="L7" i="1"/>
  <c r="L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tc={A5FABBA2-D5BE-4FAC-9EF4-083A91210413}</author>
    <author>tc={D5DDDA79-6F16-43E9-8649-A39ED59E1449}</author>
    <author>tc={575FA15F-54C9-42DC-A117-E1B3C4FB8AA0}</author>
    <author>tc={7905DBFA-B968-43F8-BF42-260F4EBEE4E1}</author>
    <author>tc={5F86B450-7967-42F1-BEF9-5B80BEE1A86A}</author>
    <author>tc={042B6545-CB92-477A-9DD3-1E44742CA811}</author>
    <author>tc={5EFB7834-6C89-49B1-9A28-686B74C58FF0}</author>
    <author>tc={C6290CE9-DC76-493D-8D55-C976306998A0}</author>
  </authors>
  <commentList>
    <comment ref="A1" authorId="0" shapeId="0" xr:uid="{A5FABBA2-D5BE-4FAC-9EF4-083A91210413}">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B1" authorId="1" shapeId="0" xr:uid="{D5DDDA79-6F16-43E9-8649-A39ED59E1449}">
      <text>
        <t>[Threaded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ref="D1" authorId="2" shapeId="0" xr:uid="{575FA15F-54C9-42DC-A117-E1B3C4FB8AA0}">
      <text>
        <t>[Threaded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ref="E1" authorId="3" shapeId="0" xr:uid="{7905DBFA-B968-43F8-BF42-260F4EBEE4E1}">
      <text>
        <t>[Threaded comment]
Your version of Excel allows you to read this threaded comment; however, any edits to it will get removed if the file is opened in a newer version of Excel. Learn more: https://go.microsoft.com/fwlink/?linkid=870924
Comment:
    separate names with a comma (","), and only use commas for that purpose (e.g., don't enter "John Doe, PhD")</t>
      </text>
    </comment>
    <comment ref="F1" authorId="4" shapeId="0" xr:uid="{5F86B450-7967-42F1-BEF9-5B80BEE1A86A}">
      <text>
        <t>[Threaded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 ref="G1" authorId="5" shapeId="0" xr:uid="{042B6545-CB92-477A-9DD3-1E44742CA811}">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
      </text>
    </comment>
    <comment ref="H1" authorId="6" shapeId="0" xr:uid="{5EFB7834-6C89-49B1-9A28-686B74C58FF0}">
      <text>
        <t>[Threaded comment]
Your version of Excel allows you to read this threaded comment; however, any edits to it will get removed if the file is opened in a newer version of Excel. Learn more: https://go.microsoft.com/fwlink/?linkid=870924
Comment:
    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
      </text>
    </comment>
    <comment ref="L1" authorId="7" shapeId="0" xr:uid="{C6290CE9-DC76-493D-8D55-C976306998A0}">
      <text>
        <t>[Threaded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tc={558952F1-BC62-4AD4-B4BF-AF41EE44BBDD}</author>
  </authors>
  <commentList>
    <comment ref="B1" authorId="0" shapeId="0" xr:uid="{558952F1-BC62-4AD4-B4BF-AF41EE44BBDD}">
      <text>
        <t>[Threaded comment]
Your version of Excel allows you to read this threaded comment; however, any edits to it will get removed if the file is opened in a newer version of Excel. Learn more: https://go.microsoft.com/fwlink/?linkid=870924
Comment:
    see here for unicode icons: https://unicode.org/emoji/charts/full-emoji-list.html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<sst xmlns="http://schemas.openxmlformats.org/spreadsheetml/2006/main" count="1030" uniqueCount="704">
  <si>
    <t>title</t>
  </si>
  <si>
    <t>team_name</t>
  </si>
  <si>
    <t>team_members</t>
  </si>
  <si>
    <t>team_members_url</t>
  </si>
  <si>
    <t>repo</t>
  </si>
  <si>
    <t>topics</t>
  </si>
  <si>
    <t>year</t>
  </si>
  <si>
    <t>awards</t>
  </si>
  <si>
    <t>description</t>
  </si>
  <si>
    <t>Blue Conduit</t>
  </si>
  <si>
    <t>BlueConduit</t>
  </si>
  <si>
    <t>Infrastructure | Quality</t>
  </si>
  <si>
    <t>Using AI to reduce uncertainty of lead service line replacement</t>
  </si>
  <si>
    <t>Spotting the Drought</t>
  </si>
  <si>
    <t>Availability</t>
  </si>
  <si>
    <t>[Project Website](https://californiadrought.shinyapps.io/WaterWells/)</t>
  </si>
  <si>
    <t>California Safe Drinking Water</t>
  </si>
  <si>
    <t>Code for America Open Oakland Water</t>
  </si>
  <si>
    <t>https://github.com/openoakland/clean-water</t>
  </si>
  <si>
    <t>Quality</t>
  </si>
  <si>
    <t>Enduring Civic Engagement</t>
  </si>
  <si>
    <t>[Project website](http://water.openoakland.org/)</t>
  </si>
  <si>
    <t>Central Valley Well Vulnerability</t>
  </si>
  <si>
    <t>function(water, data) { science }</t>
  </si>
  <si>
    <t>https://github.com/waterdatacollaborative/FunctionWaterDataScience_Central-Valley-Well-Vulnerability</t>
  </si>
  <si>
    <t>Groundwater</t>
  </si>
  <si>
    <t>Studying wells in the Central Valley in California.
Additional resources:
- [Project webpage](https://richpauloo.github.io/flexdash.html)
- [Repository](https://github.com/richpauloo/cawdc)</t>
  </si>
  <si>
    <t>DAMMS: Dam Assessment Mapping and Safety System</t>
  </si>
  <si>
    <t>Dammed if you do</t>
  </si>
  <si>
    <t>https://github.com/waterdatacollaborative/Dam-Safety-2018</t>
  </si>
  <si>
    <t>Infrastructure</t>
  </si>
  <si>
    <t>Communicating dam safety through visualizations, building support for change
Additional resources:
- [Project webpage](https://dam-safety.github.io/damss)</t>
  </si>
  <si>
    <t>Drinking Water Contaminant Classification</t>
  </si>
  <si>
    <t>Nicole Look</t>
  </si>
  <si>
    <t>[Nicole Look](https://github.com/nmlook)</t>
  </si>
  <si>
    <t>https://github.com/waterdatacollaborative/NicoleLook_Drinking-Water-Contaminant-Classification</t>
  </si>
  <si>
    <t>Quality | Infrastructure</t>
  </si>
  <si>
    <t>Statewide Interactive Map of Lead in Drinking Water</t>
  </si>
  <si>
    <t>California Get the Lead Out!</t>
  </si>
  <si>
    <t>https://github.com/GeoSurge/get-the-lead-out-map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</si>
  <si>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</si>
  <si>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
Additional resources:
- [2018 Project](https://waterdatacollaborative.github.io/project/get-the-lead-out/)
- [Project webpage](https://geosurge.github.io/get-the-lead-out-map/)</t>
  </si>
  <si>
    <t>Get the lead out!</t>
  </si>
  <si>
    <t>SF No Lead</t>
  </si>
  <si>
    <t>https://github.com/waterdatacollaborative/Get-the-Lead-Out</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</si>
  <si>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
Additional resources:
- [Project webpage](https://lobenichou.github.io/waterChallenge/)
- [2019 Project](https://waterdatachallenge.github.io/project/get-the-lead-out-2019/)</t>
  </si>
  <si>
    <t>Identifying high-risk communities</t>
  </si>
  <si>
    <t>Code4Sac</t>
  </si>
  <si>
    <t>Affordability</t>
  </si>
  <si>
    <t>Rising Innovator</t>
  </si>
  <si>
    <t>Hows My Water?</t>
  </si>
  <si>
    <t>Hadrien N Picq</t>
  </si>
  <si>
    <t>[Hadrien N Picq](https://hp-nunes.github.io/)</t>
  </si>
  <si>
    <t>https://github.com/waterdatacollaborative/HowsMyWater-DataAnalysis</t>
  </si>
  <si>
    <t>Jata Water Solution</t>
  </si>
  <si>
    <t>The Jata Solutions</t>
  </si>
  <si>
    <t>https://github.com/jyao8112/CA-Water-Contest.git</t>
  </si>
  <si>
    <t>Tools | Quality</t>
  </si>
  <si>
    <t>Empowering Community Residents with One Integrated Information Platform and Two-Way Data Communication</t>
  </si>
  <si>
    <t>Open Water Rate Specification (OWRS)</t>
  </si>
  <si>
    <t>ARGO</t>
  </si>
  <si>
    <t>https://github.com/waterdatacollaborative/Open-Water-Rate-Specification-2018</t>
  </si>
  <si>
    <t>Tools | Affordability</t>
  </si>
  <si>
    <t>Moonshot</t>
  </si>
  <si>
    <t>Additional resources:
- [Project webpage](https://github.com/California-Data-Collaborative)</t>
  </si>
  <si>
    <t>PFAS– We Eat It, We Drink It, We Breathe It</t>
  </si>
  <si>
    <t>PFAS Away</t>
  </si>
  <si>
    <t>Melissa Salazar</t>
  </si>
  <si>
    <t>https://github.com/CAWaterBoardDataCenter/PFAS-Analysis-and-Intervention</t>
  </si>
  <si>
    <t>[Project Webpage](https://meldataaa.shinyapps.io/PFAS_Analysis_and_Intervention/)</t>
  </si>
  <si>
    <t>Prediction and Visualization of Reported Units</t>
  </si>
  <si>
    <t>Lovelace Ladies</t>
  </si>
  <si>
    <t>https://github.com/waterdatacollaborative/JPLCivicHackers_Prediction-Visualization-Reported-Units</t>
  </si>
  <si>
    <t>Tools</t>
  </si>
  <si>
    <t>Imagine H2O</t>
  </si>
  <si>
    <t>Saving staff time by building a model that identifies Electronic Annual Reports (EARs) with errors. Can we learn more about contributing factors through geographic visualization?
Additional resources:
- [Project webpage](https://github.com/ozzysChiefDataScientist/water)</t>
  </si>
  <si>
    <t>Source Water Time Machine</t>
  </si>
  <si>
    <t>Know Your Source, Of Course!</t>
  </si>
  <si>
    <t>Juliana Spector</t>
  </si>
  <si>
    <t>https://github.com/julianaspector/SourceWaterTimeMachine</t>
  </si>
  <si>
    <t>[Project website](https://jjspector.shinyapps.io/source_water_time_machine/)</t>
  </si>
  <si>
    <t>Better Data Quality for Better Water Equity: Transforming EAR data</t>
  </si>
  <si>
    <t>Juan Manfredi</t>
  </si>
  <si>
    <t>[Juan Manfredi](https://github.com/jmanfredi)</t>
  </si>
  <si>
    <t>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</si>
  <si>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</si>
  <si>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Visualizing Exceedance of Contaminants</t>
  </si>
  <si>
    <t>OpenOakland</t>
  </si>
  <si>
    <t>https://github.com/waterdatacollaborative/OpenOakland_Exceedence-Levels-Vis</t>
  </si>
  <si>
    <t>Visualizing exceedance levels of water system contaminants.
Additional resources:
- [Project webpage](https://aaronhans.github.io/water-challenge/html/index.html)</t>
  </si>
  <si>
    <t>Water Quality Portal for California</t>
  </si>
  <si>
    <t>https://github.com/caccr/cawdc_2019</t>
  </si>
  <si>
    <t>[Project webpage](https://caccr.github.io/)</t>
  </si>
  <si>
    <t>Water Rate Structures– Do They Make Cents?</t>
  </si>
  <si>
    <t>Econ on Tap</t>
  </si>
  <si>
    <t>[Project Website](https://ianartmor.github.io/ca_owrs/)</t>
  </si>
  <si>
    <t>Water Scarcity Clock</t>
  </si>
  <si>
    <t>World Data Lab &amp; International Institute for Applied Systems Analysis</t>
  </si>
  <si>
    <t>[Project Website](https://www.worldwater.io/)</t>
  </si>
  <si>
    <t>Water: Towards True Affordability</t>
  </si>
  <si>
    <t>Ludovico Bianchi</t>
  </si>
  <si>
    <t>[Ludovico Bianchi](https://ludob.com)</t>
  </si>
  <si>
    <t>https://github.com/waterdatacollaborative/Water-Towards-True-Affordability</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</si>
  <si>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
Additional resources:
- [Project webpage](https://cawc-towardstrueaffordability.netlify.com/)</t>
  </si>
  <si>
    <t>WeedsViz</t>
  </si>
  <si>
    <t>https://github.com/junjunjd/WeedsViz</t>
  </si>
  <si>
    <t>Delta Region Aquatic Invasive Plant Control Visualization
[Project Website](https://junjunjd.github.io/WeedsViz/)</t>
  </si>
  <si>
    <t>The WeTap App</t>
  </si>
  <si>
    <t>WeTap</t>
  </si>
  <si>
    <t>[Project Webpage](http://wetap.org/)</t>
  </si>
  <si>
    <t>event</t>
  </si>
  <si>
    <t>2019 Water Data Challenge</t>
  </si>
  <si>
    <t>2018 Water Data Challenge</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</si>
  <si>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</si>
  <si>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</si>
  <si>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UC Davis Center for Water-Energy Efficiency</t>
  </si>
  <si>
    <t>Andrew Holguin, Yoni Ackerman, Frank Loge, Edward Spang</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</si>
  <si>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</si>
  <si>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r>
      <rPr>
        <sz val="10"/>
        <color theme="1"/>
        <rFont val="Calibri"/>
        <family val="2"/>
      </rPr>
      <t>•</t>
    </r>
    <r>
      <rPr>
        <sz val="10"/>
        <color theme="1"/>
        <rFont val="Calibri"/>
        <family val="2"/>
        <scheme val="minor"/>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</si>
  <si>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t>
  </si>
  <si>
    <t>Microsoft Cortana Intelligence</t>
  </si>
  <si>
    <t>Microsoft</t>
  </si>
  <si>
    <t>Michael Cruz</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</si>
  <si>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</si>
  <si>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The Dams of California</t>
  </si>
  <si>
    <t>Roy Fleshman</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</si>
  <si>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</si>
  <si>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</si>
  <si>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Preliminary Analysis of Surface Water Toxicity Dataset</t>
  </si>
  <si>
    <t>Travis Ludlum</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</si>
  <si>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</si>
  <si>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</si>
  <si>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</si>
  <si>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Demographic and Water Data Demonstration</t>
  </si>
  <si>
    <t>OpenGov</t>
  </si>
  <si>
    <t>Cyrus Pinto, Mike Dougherty, Joel Natividad, Sami Baig, Andrew Blythe</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</si>
  <si>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</si>
  <si>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</si>
  <si>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Dashboard on Efficiency and Bioassessment in Water Quality Enforcement</t>
  </si>
  <si>
    <t>FlowWest</t>
  </si>
  <si>
    <t>Mark Tompkins, Seth Lalonde, Mike Urkov</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</si>
  <si>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</si>
  <si>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 xml:space="preserve">•CSCI Site Score Database
•DRINC.ca.gov
•Wasterwater enforcement actions 1990s-present
</t>
  </si>
  <si>
    <t>Endora</t>
  </si>
  <si>
    <t>Alberto Curiel, Adrian Alvarez</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</si>
  <si>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</si>
  <si>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</si>
  <si>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Tableau: Water Acidity</t>
  </si>
  <si>
    <t>Taborda Solutions</t>
  </si>
  <si>
    <t>Gustavo Iturriaga, Eduardo Parra</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</si>
  <si>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</si>
  <si>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</si>
  <si>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2016 Data Innovation Challenge</t>
  </si>
  <si>
    <t>Aggregating Municipal and State Open Data for Water Quality Investigations</t>
  </si>
  <si>
    <t>CA H2Open</t>
  </si>
  <si>
    <t>Runner-Up</t>
  </si>
  <si>
    <t>CloudCompli, Inc &amp; Orange County Public Works</t>
  </si>
  <si>
    <t>resources</t>
  </si>
  <si>
    <t>Siu Lim Lee, Lynn Gao</t>
  </si>
  <si>
    <t>Aaron Hans, Cori Gaul, Michael Norelli, Rucker Alex, Alex Aruj, Sean Pennino</t>
  </si>
  <si>
    <t>Rich Pauloo, Amanda Fencl, Hervé Guillon, Alvar Escriva-Bou</t>
  </si>
  <si>
    <t>[Rich Pauloo](https://richpauloo.github.io), Amanda Fencl, Hervé Guillon, Alvar Escriva-Bou</t>
  </si>
  <si>
    <t>Daniel Siegel, Colin King-Bailey, Jessica Rahman, Dan Constable</t>
  </si>
  <si>
    <t>Laura Deehan, Sadie Gill, Daniel Dufour, Victoria Mak</t>
  </si>
  <si>
    <t>Laura Deehan, Sadie Gill, Lo Benichou</t>
  </si>
  <si>
    <t>Jacqueline Barkoski, Chuan-Shin Chong</t>
  </si>
  <si>
    <t>Junlin Chen, Jingjua Yao, Zini Zhu, Caidan Yang, Jiajia Jing</t>
  </si>
  <si>
    <t>Patrick Atwater, Christopher Tull, David Marulli</t>
  </si>
  <si>
    <t>[Christopher Tull](http://christophertull.org), Patrick Atwater, David Marulli</t>
  </si>
  <si>
    <t>Anna Waldron, Elena Smith</t>
  </si>
  <si>
    <t>Aaron Hans, Robert Gibboni, Rucker Alex, Yotam Hacohen</t>
  </si>
  <si>
    <t>Rich Pauloo, Lindsay Poirier, Andrew Essin, Avery Kreuger</t>
  </si>
  <si>
    <t>[Rich Pauloo](https://richpauloo.github.io), Lindsay Poirier, Andrew Essin, Avery Kreuger</t>
  </si>
  <si>
    <t>Lauren Adams, Benjamin Dawson, Ian Morelan, Kyle Onda, Wai Yan Siu, Joakim Weill</t>
  </si>
  <si>
    <t>Sara Biazar, Iskra Ušćumlić, Thomas Mitterling, Peter Burek, Peter Greve, Robert Burtscher, Jasmin Baier</t>
  </si>
  <si>
    <t>Junjun Dong, Qingping Hou</t>
  </si>
  <si>
    <t>Evelyn Wendel, Aaron Hans, Susan Wrenn, Jack Sahl, Caleb Rabinowitz, Charles Ellis, Adam Western</t>
  </si>
  <si>
    <t>- [Project Repository](https://github.com/openoakland/clean-water)</t>
  </si>
  <si>
    <t>- [Project Repository](https://github.com/waterdatacollaborative/FunctionWaterDataScience_Central-Valley-Well-Vulnerability)</t>
  </si>
  <si>
    <t>- [Project Repository](https://github.com/waterdatacollaborative/Dam-Safety-2018)</t>
  </si>
  <si>
    <t>- [Project Repository](https://github.com/waterdatacollaborative/NicoleLook_Drinking-Water-Contaminant-Classification)</t>
  </si>
  <si>
    <t>- [Project Repository](https://github.com/GeoSurge/get-the-lead-out-map)</t>
  </si>
  <si>
    <t>- [Project Repository](https://github.com/waterdatacollaborative/Get-the-Lead-Out)</t>
  </si>
  <si>
    <t>- [Project Repository](https://github.com/waterdatacollaborative/HowsMyWater-DataAnalysis)</t>
  </si>
  <si>
    <t>- [Project Repository](https://github.com/jyao8112/CA-Water-Contest.git)</t>
  </si>
  <si>
    <t>- [Project Repository](https://github.com/waterdatacollaborative/Open-Water-Rate-Specification-2018)</t>
  </si>
  <si>
    <t>- [Project Repository](https://github.com/CAWaterBoardDataCenter/PFAS-Analysis-and-Intervention)</t>
  </si>
  <si>
    <t>- [Project Repository](https://github.com/waterdatacollaborative/JPLCivicHackers_Prediction-Visualization-Reported-Units)</t>
  </si>
  <si>
    <t>- [Project Repository](https://github.com/julianaspector/SourceWaterTimeMachine)</t>
  </si>
  <si>
    <t>- [Project Repository](https://github.com/waterdatacollaborative/Water-Usage-and-Production)</t>
  </si>
  <si>
    <t>- [Project Repository](https://github.com/waterdatacollaborative/OpenOakland_Exceedence-Levels-Vis)</t>
  </si>
  <si>
    <t>- [Project Repository](https://github.com/caccr/cawdc_2019)</t>
  </si>
  <si>
    <t>- [Project Repository](https://github.com/waterdatacollaborative/Water-Towards-True-Affordability)</t>
  </si>
  <si>
    <t>- [Project Repository](https://github.com/junjunjd/WeedsViz)</t>
  </si>
  <si>
    <t>resources_build</t>
  </si>
  <si>
    <t/>
  </si>
  <si>
    <t>Dr. Eric Schwartz, Dr. Jacob Abernethy, Jared Webb, Ian Robinson, Brigadier General (ret.) Michael McDaniel</t>
  </si>
  <si>
    <t>list_of_datasets_used</t>
  </si>
  <si>
    <t>link_to_recorded_presentation_from_closing_event</t>
  </si>
  <si>
    <t>link_to_submission_4</t>
  </si>
  <si>
    <t>link_to_submission_3</t>
  </si>
  <si>
    <t>link_to_submission_2</t>
  </si>
  <si>
    <t>link_to_submission_1</t>
  </si>
  <si>
    <t>organization_affiliation</t>
  </si>
  <si>
    <t>link_to_slides</t>
  </si>
  <si>
    <t>2016 White House Water Data Challenge</t>
  </si>
  <si>
    <t>The California Water Planning Information Exchange (Water PIE)</t>
  </si>
  <si>
    <t>Conservation Biology Institute</t>
  </si>
  <si>
    <t>Non-Open Source</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</si>
  <si>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</si>
  <si>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</si>
  <si>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cadwr.databasin.org</t>
  </si>
  <si>
    <t>Exploring climate change through RainSphere</t>
  </si>
  <si>
    <t>University of California, Irvine</t>
  </si>
  <si>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</si>
  <si>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</si>
  <si>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https://drive.google.com/file/d/0B_SI-qUI02kYcXVzQ3BNN0Q4Mm8/view?usp=sharing</t>
  </si>
  <si>
    <t>http://rainsphere.eng.uci.edu/</t>
  </si>
  <si>
    <t>https://www.youtube.com/watch?v=eI2-f88iGlY</t>
  </si>
  <si>
    <t>http://journals.ametsoc.org/doi/pdf/10.1175/BAMS-D-16-0036.1</t>
  </si>
  <si>
    <t>iRain app for real-time rainfall observations from satellites and crowdsourcing</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</si>
  <si>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</si>
  <si>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</si>
  <si>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https://drive.google.com/file/d/0B_SI-qUI02kYZ0YwZzJnMU1Bdk0/view?usp=sharing</t>
  </si>
  <si>
    <t>https://itunes.apple.com/sa/app/irain-app/id982858283?mt=8</t>
  </si>
  <si>
    <t>http://irain.eng.uci.edu/</t>
  </si>
  <si>
    <t>http://en.unesco.org/news/irain-new-mobile-app-promote-citizen-science-and-support-water-management</t>
  </si>
  <si>
    <t>CASGEM Data Mining and Visualization Tools and Technologies for SMART WELLFIELDS™</t>
  </si>
  <si>
    <t>Summit Envirosolutions, Inc. / Aquifer Resource Management, Inc.</t>
  </si>
  <si>
    <t>Problem Statements•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</si>
  <si>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Data from wells in Groundwater Basin 5-21.64 North American (Sacramento area) were obtained from the CASGEM website (although the data could come from anywhere with a standard export function).</t>
  </si>
  <si>
    <t>www.epiphiny.com</t>
  </si>
  <si>
    <t>www.realgw.com</t>
  </si>
  <si>
    <t>WaterBudget</t>
  </si>
  <si>
    <t>Bayes Impact</t>
  </si>
  <si>
    <t>Open Source</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</si>
  <si>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</si>
  <si>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</si>
  <si>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</si>
  <si>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</si>
  <si>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Automated Water Resource Sustainability Management</t>
  </si>
  <si>
    <t>Groundswell Technologies, Inc.</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</si>
  <si>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 (http://deltacouncil.ca.gov/docs/enhancing-vision-managing-california-s-environmentalinformation),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</si>
  <si>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Water level databases (e.g., DWR Water Data Library), groundwater extraction
 rate records, private and public level sensor and extraction meter networks.</t>
  </si>
  <si>
    <t>http://gswell.abbaroo.com/</t>
  </si>
  <si>
    <t>CaDC Gittes Water Data Dictionary and Explorer</t>
  </si>
  <si>
    <t>California Data Collaborative (staffed by ARGO Labs 501c3 Nonprofit)</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</si>
  <si>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</si>
  <si>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https://docs.google.com/spreadsheets/d/13WHmztwBOjyCEuSNQd09nl2wIPXrAUbtqidpiNKR13k/edit#gid=1660645939</t>
  </si>
  <si>
    <t>NA</t>
  </si>
  <si>
    <t>http://public.tableau.com/views/GITTES-viz/Dashboard2?:showVizHome=no#1</t>
  </si>
  <si>
    <t>https://drive.google.com/open?id=0B5n4IeHrVBinN19LbklYa0NRaUU</t>
  </si>
  <si>
    <t>California Actual Evapotranspiration (CalETa) Mapping Program</t>
  </si>
  <si>
    <t>Formation Environmental LLC</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</si>
  <si>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</si>
  <si>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 Landsat program is publically available NASA/USGS data : http://earthexplorer.usgs.gov/
 • CIMIS is part of California open data portal: ftp://ftpcimis.water.ca.gov/pub2/
 • Spatial CIMIS is part of California open data portal: http://wwwcimis.water.ca.gov/SpatialData.aspx</t>
  </si>
  <si>
    <t>https://drive.google.com/open?id=0B5n4IeHrVBinT0o4ZVNrWHk5Vkk</t>
  </si>
  <si>
    <t>http://arcg.is/2h3CjYE</t>
  </si>
  <si>
    <t>https://drive.google.com/open?id=0B5n4IeHrVBinR2VSOGJLeVpPZ0U</t>
  </si>
  <si>
    <t>https://github.com/gpaulFormation/CalETa</t>
  </si>
  <si>
    <t>https://drive.google.com/open?id=0B5n4IeHrVBindGpGanJULUVPYjA</t>
  </si>
  <si>
    <t>Coping with the California Drought: 2014-2016</t>
  </si>
  <si>
    <t>Stanford University</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</si>
  <si>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</si>
  <si>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</si>
  <si>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https://drive.google.com/open?id=0B5n4IeHrVBinT3NlRndpam85Y2c</t>
  </si>
  <si>
    <t>http://waterinthewest.stanford.edu/publications/coping-california-drought-2014-2016</t>
  </si>
  <si>
    <t xml:space="preserve">https://github.com/patriciagm4/ca-data-challenge </t>
  </si>
  <si>
    <t>Drought Resilience of California’s Power Supply</t>
  </si>
  <si>
    <t>California Energy Commission</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</si>
  <si>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</si>
  <si>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 Quarterly Fuels and Energy Reporting (QFER) data
 •California Department of Water Resources GIS layers from ‘Groundwater Sustainability Program – Draft Strategic Plan’, March 9, 2015</t>
  </si>
  <si>
    <t>https://drive.google.com/open?id=0B5n4IeHrVBincHlkbVVFUTJudTA</t>
  </si>
  <si>
    <t>https://drive.google.com/open?id=0B5n4IeHrVBinLWVlMFNpV05IV0U</t>
  </si>
  <si>
    <t>https://drive.google.com/open?id=0B5n4IeHrVBinMjRiS1FLZUtLMmc</t>
  </si>
  <si>
    <t>Sustainable Floodplain Habitat 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</si>
  <si>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</si>
  <si>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</si>
  <si>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</si>
  <si>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Visualization and Analysis for Water Resources Time-Series Data</t>
  </si>
  <si>
    <t>Visual Data Analytics / TGAEC / Golden Software</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</si>
  <si>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</si>
  <si>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</si>
  <si>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https://drive.google.com/open?id=0B5n4IeHrVBindXR5bGt4cXkwbkE</t>
  </si>
  <si>
    <t>https://drive.google.com/open?id=0B5n4IeHrVBinYWR6SC16cEFHQkk</t>
  </si>
  <si>
    <t>An Automated Water Resources Tracking System: Near Real-Time Decision Support for Water and Wetland Managers</t>
  </si>
  <si>
    <t>Point Blue Conservation Science</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</si>
  <si>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</si>
  <si>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</si>
  <si>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</si>
  <si>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</si>
  <si>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Water Risk Monetizer</t>
  </si>
  <si>
    <t>Ecolab and Trucost</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</si>
  <si>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</si>
  <si>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</si>
  <si>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https://drive.google.com/open?id=0B5n4IeHrVBinLTVnRkp1TmZ6TjA</t>
  </si>
  <si>
    <t>www.WaterRiskMonetizer.com</t>
  </si>
  <si>
    <t>The Watershed Analyst</t>
  </si>
  <si>
    <t>Point Blue Conservation Science / USGS</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</si>
  <si>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</si>
  <si>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 California Basin Characterization Model (BCM), http://climate.calcommons.org/bcm
 • Planning Watersheds from the CalWater 2.2.1 Watershed Boundaries, http://frap.cdf.ca.gov/data/frapgisdata-sw-calwater_download</t>
  </si>
  <si>
    <t>https://drive.google.com/open?id=0B5n4IeHrVBinVEF4OWtrRFZaRHc</t>
  </si>
  <si>
    <t>http://climate.calcommons.org/tbc3/sf-bay-watershed-analyst</t>
  </si>
  <si>
    <t>https://vimeo.com/190052456</t>
  </si>
  <si>
    <t>map.waterauditca.org</t>
  </si>
  <si>
    <t>Water Audit California</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</si>
  <si>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</si>
  <si>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</si>
  <si>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https://drive.google.com/open?id=0B5n4IeHrVBinSzZWV1VQUl93NXM</t>
  </si>
  <si>
    <t>CaDC Efficiency Explorer</t>
  </si>
  <si>
    <t>California Data Collaborative (and 501c3 Nonprofit ARGOLabs)</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</si>
  <si>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</si>
  <si>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</si>
  <si>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https://drive.google.com/open?id=0B5n4IeHrVBinck9rcy1qM3hESHc</t>
  </si>
  <si>
    <t>https://github.com/California-Data-Collaborative/efficiency-explorer</t>
  </si>
  <si>
    <t>Water Resource Visualization and Decision Support Tool Proof of Concept Design</t>
  </si>
  <si>
    <t>Deloitte</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</si>
  <si>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</si>
  <si>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Documents\18_CA_Water Management_Data Details_12052016_vF.XLSX</t>
  </si>
  <si>
    <t>https://drive.google.com/open?id=0B5n4IeHrVBinakZPdlM2WlVaelk</t>
  </si>
  <si>
    <t>https://drive.google.com/open?id=0B5n4IeHrVBinUDI2T1ZteEVtSUE</t>
  </si>
  <si>
    <t>Sacramento River Watershed Data Portal</t>
  </si>
  <si>
    <t>34 North and Sacramento River Watershed Program</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</si>
  <si>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</si>
  <si>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</si>
  <si>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https://drive.google.com/open?id=0B5n4IeHrVBinWXFVdjctTW5DNTQ</t>
  </si>
  <si>
    <t>srwp.opennrm.org
 username: guest@srwp.org
 password: srwp</t>
  </si>
  <si>
    <t>Resilient Community Toolkit for Drought Response</t>
  </si>
  <si>
    <t>How might we help empower and activate communiites to respond to the California drought? 
 The *Resilient Community Toolkit for Drought Response* is a solution that makes it easier for all stakeholders to leverage too often dispersed resources.</t>
  </si>
  <si>
    <t>Census, Department of Energy, NASA and others</t>
  </si>
  <si>
    <t>https://drive.google.com/open?id=0B5n4IeHrVBinOWl2aGs1aWNBc1U</t>
  </si>
  <si>
    <t>http://arcg.is/2g1XCK7</t>
  </si>
  <si>
    <t>Water Supply App</t>
  </si>
  <si>
    <t>The project title is Water Supply App. It uses a json object created from the State Water Resources Control Board's Water Rights data (http://www.waterboards.ca.gov/waterrights/water_issues/programs/ewrims/index.shtml),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</si>
  <si>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</si>
  <si>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</si>
  <si>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</si>
  <si>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West Valley College California Water Data Challenge</t>
  </si>
  <si>
    <t>West Valley College</t>
  </si>
  <si>
    <t>It is our hope this helps tell the water story in some small way. This project highlights the following
 areas:
 Ground water well data
 Evapotranspiration
 Precipitation 
 Reservoir Storage 
 Critical Habitat loss due to Drought
 Steelhead and Stream Flow</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</si>
  <si>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</si>
  <si>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https://drive.google.com/open?id=0B5n4IeHrVBinZmJjRHFZdTFrcmc</t>
  </si>
  <si>
    <t>http://westvalleycollegegeospatial.weebly.com</t>
  </si>
  <si>
    <t>Team Athena Intelligence</t>
  </si>
  <si>
    <t>Athena Intelligence, Inc</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</si>
  <si>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</si>
  <si>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</si>
  <si>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https://drive.google.com/open?id=0B5n4IeHrVBinTU1vcnZZODNKSVk</t>
  </si>
  <si>
    <t>http://project-athena.com/ca-water-data-challenge</t>
  </si>
  <si>
    <t>Dynamic Surface Water Monitoring (DSWM)</t>
  </si>
  <si>
    <t>SWRCB / UC Davis</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</si>
  <si>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</si>
  <si>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https://drive.google.com/open?id=0B5n4IeHrVBinLXlRN3VjNGwwTVk</t>
  </si>
  <si>
    <t>https://drive.google.com/open?id=0B5n4IeHrVBinUGN0bm1HLUhSa1E</t>
  </si>
  <si>
    <t>https://drive.google.com/open?id=0B5n4IeHrVBinbVhGOUh6VTNRM28</t>
  </si>
  <si>
    <t>Stream Monitor App</t>
  </si>
  <si>
    <t>ESRI</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</si>
  <si>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</si>
  <si>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https://drive.google.com/open?id=0B5n4IeHrVBinbEl5NHFIVUhIM0E</t>
  </si>
  <si>
    <t>CaDC Rate Comparison tool</t>
  </si>
  <si>
    <t>California Data Collaborative (staffed by 501c3 Nonprofit ARGO Labs)</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</si>
  <si>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 https://youtu.be/mYv-OOBGJ28</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</si>
  <si>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</si>
  <si>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</si>
  <si>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California Drought Dashboard</t>
  </si>
  <si>
    <t>The Nature Conservancy</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</si>
  <si>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</si>
  <si>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</si>
  <si>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https://drive.google.com/open?id=0B5n4IeHrVBindmhfNjZCTWpJMTA</t>
  </si>
  <si>
    <t>https://public.tableau.com/profile/kklausmeyer#!/vizhome/CaliforniaDroughtDashboard/Dashboard</t>
  </si>
  <si>
    <t>https://github.com/kklausmeyer/Drought_Dashboard</t>
  </si>
  <si>
    <t>The Urban Drool Tool</t>
  </si>
  <si>
    <t>Moulton Niguel Water District / California Data Collaborative / OC Public Works</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</si>
  <si>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</si>
  <si>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See document</t>
  </si>
  <si>
    <t>https://docs.google.com/presentation/d/1rr8I70WkmyJS5148a6yldgmUuNrKXBt9X6dqTAUONPQ/edit?usp=sharing</t>
  </si>
  <si>
    <t>https://drive.google.com/open?id=0B5n4IeHrVBinOERsb3ZZWnNCVEk</t>
  </si>
  <si>
    <t>A web-based spatial framework for quantifying stormwater reduction opportunities and water resource benefits</t>
  </si>
  <si>
    <t>2NFORM</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</si>
  <si>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</si>
  <si>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</si>
  <si>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https://drive.google.com/open?id=0B5n4IeHrVBinSFVJV3Yyak5FRjQ</t>
  </si>
  <si>
    <t>Please visit the TELR website (www.swtelr.com) for a demonstration. Username: 2N_demo. Password: demopassword</t>
  </si>
  <si>
    <t>Technical documentation: Stormwater TELR Technical Document</t>
  </si>
  <si>
    <t>Smart Water Analytics</t>
  </si>
  <si>
    <t>Accenture</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</si>
  <si>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</si>
  <si>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All Ground Water Data Sets collected from following agency
  i. Waterboard
  ii. DWR
  iii. USGS
  iv. UC Davis</t>
  </si>
  <si>
    <t>https://drive.google.com/open?id=0B5n4IeHrVBinZ2NPX0JWQ0IxX2s</t>
  </si>
  <si>
    <t>Link for the demo: https://accenture-smartwateranalytics.ca-challenge.com Note: This website is not publically accessible, hence please send request to following email address to get access Sachin.dalal@accenture.com &amp; sonu.kumar.singh@accenture.com</t>
  </si>
  <si>
    <t>EMP Water Quality Conditions Report (Water Quality Conditions in the Sacramento San Joaquin Bay-Delta and Suisun Bay)</t>
  </si>
  <si>
    <t>34 North</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</si>
  <si>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</si>
  <si>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</si>
  <si>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https://drive.google.com/open?id=0B5n4IeHrVBinQVVXWFUtSlZteDA</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</si>
  <si>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</si>
  <si>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Bay Area Urban Water System Barcode</t>
  </si>
  <si>
    <t>Association of Bay Area Governments</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</si>
  <si>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</si>
  <si>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Urban Water Management Plans, Water District Websites, City/County Websites, Census</t>
  </si>
  <si>
    <t>https://drive.google.com/open?id=0B5n4IeHrVBinblM4c2NtS25HaWs</t>
  </si>
  <si>
    <t>https://drive.google.com/open?id=0B5n4IeHrVBinbmZpYmRjWFIzUVU</t>
  </si>
  <si>
    <t>Salinity Management (Managing Salinity in the Delta)</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</si>
  <si>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</si>
  <si>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https://drive.google.com/open?id=0B5n4IeHrVBinRHZwaGwtMVBQT0k</t>
  </si>
  <si>
    <t>www.baydeltalive.com/salinity</t>
  </si>
  <si>
    <t>Native Fisheries (Baydeltalive.com: Native Fisheries Monitoring in the Sacramento San Joaquin Delta)</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</si>
  <si>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</si>
  <si>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</si>
  <si>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https://drive.google.com/open?id=0B5n4IeHrVBineUxWR25HTWNTZzQ</t>
  </si>
  <si>
    <t>www.baydeltalive.com/djfmp ** Please navigation the data dashboards using the sub navigation: Triggers and Indices, RBDD, DJFMP Highlights, DJFMP Details, Water Quality, Salvage, NOAA Forecasts, Visualizations</t>
  </si>
  <si>
    <t>Providing Context to a Proposed Shasta Dam Expansion</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</si>
  <si>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</si>
  <si>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</si>
  <si>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publish_to_website</t>
  </si>
  <si>
    <t>category_open_source</t>
  </si>
  <si>
    <t>Alex Nisnevich, Mehdi Jamei, Kirtan Upadhyaya, Everett Wetchler</t>
  </si>
  <si>
    <t>Patricia Gonzales, Kim Quesnel, Newsha Ajami</t>
  </si>
  <si>
    <t>Andrew Tom, Bobby Miyashiro, Jason Leung, Judy Chen</t>
  </si>
  <si>
    <t>https://drive.google.com/file/d/0B5n4IeHrVBinaWRleWZ1QVJRZ0k/view?resourcekey=0-eZCjxx_PJjVAxJ_nnHIdXA</t>
  </si>
  <si>
    <t>https://drive.google.com/file/d/0B5n4IeHrVBinODNsWnpxLUQwRms/view?resourcekey=0-JrFW-I6y4YRQgYT00-Kw8g</t>
  </si>
  <si>
    <t>Christopher Tull, Anudeep Vanjavakam, Monobina Mukherjee, Drew Atwater, Johnathan Cruz, Patrick Atwater</t>
  </si>
  <si>
    <t>https://drive.google.com/file/d/0B5n4IeHrVBinWXBxa2lCSkZ1dlk/view?resourcekey=0-oKk-NdHuG7_7FsvExBIIgg</t>
  </si>
  <si>
    <t>Kylie Pace</t>
  </si>
  <si>
    <t>https://drive.google.com/file/d/0B5n4IeHrVBinWnN2eWVHM1g4aFE/view?resourcekey=0-HcUn236odEPuW98wyUUuyQ</t>
  </si>
  <si>
    <t>https://drive.google.com/file/d/0B5n4IeHrVBinY1JIOFlxUkNXajQ/view?resourcekey=0-qQlutJZZ07waa9rqy1hPHQ</t>
  </si>
  <si>
    <t>https://drive.google.com/file/d/0B5n4IeHrVBinMGxtcVp0M1YtbDQ/view?resourcekey=0-fDKdS5WlG96ZJQZpvABRpA</t>
  </si>
  <si>
    <t>- [Slides](https://drive.google.com/file/d/0B_SI-qUI02kYcXVzQ3BNN0Q4Mm8/view?usp=sharing)
- &lt;http://rainsphere.eng.uci.edu/&gt;
- &lt;https://www.youtube.com/watch?v=eI2-f88iGlY&gt;
- &lt;http://journals.ametsoc.org/doi/pdf/10.1175/BAMS-D-16-0036.1&gt;</t>
  </si>
  <si>
    <t>- [Slides](https://drive.google.com/file/d/0B_SI-qUI02kYZ0YwZzJnMU1Bdk0/view?usp=sharing)
- &lt;https://itunes.apple.com/sa/app/irain-app/id982858283?mt=8&gt;
- &lt;http://irain.eng.uci.edu/&gt;
- &lt;http://en.unesco.org/news/irain-new-mobile-app-promote-citizen-science-and-support-water-management&gt;</t>
  </si>
  <si>
    <t>- [Slides](https://drive.google.com/file/d/0B5n4IeHrVBinMGxtcVp0M1YtbDQ/view?resourcekey=0-fDKdS5WlG96ZJQZpvABRpA)
- &lt;https://bayesimpact.github.io/water/&gt;
- &lt;https://github.com/bayesimpact/water&gt;</t>
  </si>
  <si>
    <t>- [Slides](https://drive.google.com/open?id=0B5n4IeHrVBinT0o4ZVNrWHk5Vkk)
- &lt;http://arcg.is/2h3CjYE&gt;
- &lt;https://drive.google.com/open?id=0B5n4IeHrVBinR2VSOGJLeVpPZ0U&gt;
- &lt;https://github.com/gpaulFormation/CalETa&gt;
- &lt;https://drive.google.com/open?id=0B5n4IeHrVBindGpGanJULUVPYjA&gt;</t>
  </si>
  <si>
    <t>- [Slides](https://drive.google.com/open?id=0B5n4IeHrVBinT3NlRndpam85Y2c)
- &lt;http://waterinthewest.stanford.edu/publications/coping-california-drought-2014-2016&gt;
- &lt;https://github.com/patriciagm4/ca-data-challenge &gt;</t>
  </si>
  <si>
    <t>- [Slides](https://drive.google.com/open?id=0B5n4IeHrVBincHlkbVVFUTJudTA)
- &lt;https://drive.google.com/open?id=0B5n4IeHrVBinLWVlMFNpV05IV0U&gt;
- &lt;https://drive.google.com/open?id=0B5n4IeHrVBinMjRiS1FLZUtLMmc&gt;</t>
  </si>
  <si>
    <t>- [Slides](https://drive.google.com/file/d/0B5n4IeHrVBinY1JIOFlxUkNXajQ/view?resourcekey=0-qQlutJZZ07waa9rqy1hPHQ)
- &lt;https://flowwest.shinyapps.io/flowwest_floodplain_habitat_finder/&gt;</t>
  </si>
  <si>
    <t>- [Slides](https://drive.google.com/open?id=0B5n4IeHrVBindXR5bGt4cXkwbkE)
- &lt;https://drive.google.com/open?id=0B5n4IeHrVBinYWR6SC16cEFHQkk&gt;</t>
  </si>
  <si>
    <t>- [Slides](https://drive.google.com/file/d/0B5n4IeHrVBinWnN2eWVHM1g4aFE/view?resourcekey=0-HcUn236odEPuW98wyUUuyQ)
- &lt;http://data.pointblue.org/apps/autowater/&gt;
- &lt;https://github.com/dm00dy/autowater&gt;</t>
  </si>
  <si>
    <t>- [Slides](https://drive.google.com/open?id=0B5n4IeHrVBinLTVnRkp1TmZ6TjA)
- &lt;www.WaterRiskMonetizer.com&gt;</t>
  </si>
  <si>
    <t>- [Slides](https://drive.google.com/open?id=0B5n4IeHrVBinVEF4OWtrRFZaRHc)
- &lt;http://climate.calcommons.org/tbc3/sf-bay-watershed-analyst&gt;
- &lt;https://vimeo.com/190052456&gt;</t>
  </si>
  <si>
    <t>- [Slides](https://drive.google.com/open?id=0B5n4IeHrVBinSzZWV1VQUl93NXM)
- &lt;map.waterauditca.org&gt;</t>
  </si>
  <si>
    <t>- [Slides](https://drive.google.com/open?id=0B5n4IeHrVBinck9rcy1qM3hESHc)
- &lt;https://github.com/California-Data-Collaborative/efficiency-explorer&gt;</t>
  </si>
  <si>
    <t>- [Slides](https://drive.google.com/open?id=0B5n4IeHrVBinakZPdlM2WlVaelk)
- &lt;https://drive.google.com/open?id=0B5n4IeHrVBinUDI2T1ZteEVtSUE&gt;</t>
  </si>
  <si>
    <t>- [Slides](https://drive.google.com/open?id=0B5n4IeHrVBinOWl2aGs1aWNBc1U)
- &lt;http://arcg.is/2g1XCK7&gt;</t>
  </si>
  <si>
    <t>- [Slides](https://drive.google.com/file/d/0B5n4IeHrVBinWXBxa2lCSkZ1dlk/view?resourcekey=0-oKk-NdHuG7_7FsvExBIIgg)
- &lt;http://kyliepace.github.io/waterChallenge&gt;
- &lt;http://github.com/kyliepace/waterChallenge&gt;</t>
  </si>
  <si>
    <t>- [Slides](https://drive.google.com/open?id=0B5n4IeHrVBinZmJjRHFZdTFrcmc)
- &lt;http://westvalleycollegegeospatial.weebly.com&gt;</t>
  </si>
  <si>
    <t>- [Slides](https://drive.google.com/open?id=0B5n4IeHrVBinTU1vcnZZODNKSVk)
- &lt;http://project-athena.com/ca-water-data-challenge&gt;</t>
  </si>
  <si>
    <t>- [Slides](https://drive.google.com/open?id=0B5n4IeHrVBinLXlRN3VjNGwwTVk)
- &lt;https://drive.google.com/open?id=0B5n4IeHrVBinUGN0bm1HLUhSa1E&gt;
- &lt;https://drive.google.com/open?id=0B5n4IeHrVBinbVhGOUh6VTNRM28&gt;</t>
  </si>
  <si>
    <t>- [Slides](https://drive.google.com/open?id=0B5n4IeHrVBinbEl5NHFIVUhIM0E)</t>
  </si>
  <si>
    <t>- [Slides](https://drive.google.com/file/d/0B5n4IeHrVBinODNsWnpxLUQwRms/view?resourcekey=0-JrFW-I6y4YRQgYT00-Kw8g)
- &lt;https://github.com/California-Data-Collaborative/RateComparison&gt;</t>
  </si>
  <si>
    <t>- [Slides](https://drive.google.com/open?id=0B5n4IeHrVBindmhfNjZCTWpJMTA)
- &lt;https://public.tableau.com/profile/kklausmeyer#!/vizhome/CaliforniaDroughtDashboard/Dashboard&gt;
- &lt;https://github.com/kklausmeyer/Drought_Dashboard&gt;</t>
  </si>
  <si>
    <t>- [Slides](https://docs.google.com/presentation/d/1rr8I70WkmyJS5148a6yldgmUuNrKXBt9X6dqTAUONPQ/edit?usp=sharing)
- &lt;https://drive.google.com/open?id=0B5n4IeHrVBinOERsb3ZZWnNCVEk&gt;</t>
  </si>
  <si>
    <t>- [Slides](https://drive.google.com/open?id=0B5n4IeHrVBinblM4c2NtS25HaWs)
- &lt;https://drive.google.com/open?id=0B5n4IeHrVBinbmZpYmRjWFIzUVU&gt;</t>
  </si>
  <si>
    <t>- [Slides](https://drive.google.com/open?id=0B5n4IeHrVBinRHZwaGwtMVBQT0k)
- &lt;www.baydeltalive.com/salinity&gt;</t>
  </si>
  <si>
    <t>- [Slides](https://drive.google.com/file/d/0B5n4IeHrVBinaWRleWZ1QVJRZ0k/view?resourcekey=0-eZCjxx_PJjVAxJ_nnHIdXA)
- &lt;http://storageaf.wixsite.com/shastadam&gt;</t>
  </si>
  <si>
    <t>- [Slides](https://drive.google.com/open?id=0B5n4IeHrVBinWXFVdjctTW5DNTQ)
- &lt;srwp.opennrm.org&gt;
 username: guest@srwp.org
 password: srwp</t>
  </si>
  <si>
    <t>- [Slides](https://drive.google.com/open?id=0B5n4IeHrVBinSFVJV3Yyak5FRjQ)
- &lt;www.swtelr.com&gt; Username: 2N_demo. Password: demopassword</t>
  </si>
  <si>
    <t>- [Slides](https://drive.google.com/open?id=0B5n4IeHrVBinZ2NPX0JWQ0IxX2s)
- &lt;https://accenture-smartwateranalytics.ca-challenge.com&gt; Note: This website is not publically accessible, hence please send request to following email address to get access Sachin.dalal@accenture.com &amp; sonu.kumar.singh@accenture.com</t>
  </si>
  <si>
    <t>- [Slides](https://drive.google.com/open?id=0B5n4IeHrVBinQVVXWFUtSlZteDA)
- &lt;http://mywaterquality.ca.gov/index.html&gt;</t>
  </si>
  <si>
    <t>- [Slides](https://drive.google.com/open?id=0B5n4IeHrVBineUxWR25HTWNTZzQ)
- &lt;www.baydeltalive.com/djfmp&gt; ** Please navigation the data dashboards using the sub navigation: Triggers and Indices, RBDD, DJFMP Highlights, DJFMP Details, Water Quality, Salvage, NOAA Forecasts, Visualizations</t>
  </si>
  <si>
    <t>Paper: Aggregating Municipal and State Open Data for Water Quality Investigations.pdf</t>
  </si>
  <si>
    <t>Application: WQExplorer (Select either “CTR Limits” or “Deviation” from the menu to start an investigation)</t>
  </si>
  <si>
    <t>Application: CA H2Open</t>
  </si>
  <si>
    <t>Application: Microsoft Cortana Intelligence</t>
  </si>
  <si>
    <t>Application: The Dams of California</t>
  </si>
  <si>
    <t>Application: California Water Quality</t>
  </si>
  <si>
    <t>Application: Water Data With Demographics</t>
  </si>
  <si>
    <t>Application: Efficiency and Bioassessment in Water Quality Enforcement</t>
  </si>
  <si>
    <t>Application: Water Acidity</t>
  </si>
  <si>
    <t>Source Code (for web application): https://github.com/cloudcompli/wqexplorer</t>
  </si>
  <si>
    <t>Source Code: https://github.com/ucd-cwee/greengov-challenge</t>
  </si>
  <si>
    <t>Source Code (for an underlying data parsing library): https://github.com/cloudcompli/wqinspector</t>
  </si>
  <si>
    <t>Presentation: Aggregating Municipal and State Open Data for Water Quality Investigations</t>
  </si>
  <si>
    <t>Presentation: CA H2Open</t>
  </si>
  <si>
    <t>Presentation: Microsoft Cortana</t>
  </si>
  <si>
    <t>Presentation: The Dams of California</t>
  </si>
  <si>
    <t>Presentation: Preliminary Analysis of Surface Water Toxicity Dataset</t>
  </si>
  <si>
    <t>Presentation: Demographic and Water Data Demonstration</t>
  </si>
  <si>
    <t>Presentation: Dashboard on Efficiency and Bioassessment in Water Quality Enforcement</t>
  </si>
  <si>
    <t>Presentation: Endora</t>
  </si>
  <si>
    <t>Slides: Aggregating Municipal and State Open Data for Water Quality Investigations</t>
  </si>
  <si>
    <t>Slides: CA H2Open</t>
  </si>
  <si>
    <t>Slides: Microsoft Cortana</t>
  </si>
  <si>
    <t>Slides: The Dams of California</t>
  </si>
  <si>
    <t>Slides: Preliminary Analysis of Surface Water Toxicity Dataset</t>
  </si>
  <si>
    <t>Slides: Demographic and Water Data Demonstration</t>
  </si>
  <si>
    <t>Slides: Endora</t>
  </si>
  <si>
    <t>Slides: Tableau: Water Acidity</t>
  </si>
  <si>
    <t>-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t>
  </si>
  <si>
    <t>-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t>
  </si>
  <si>
    <t>-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t>
  </si>
  <si>
    <t>-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t>
  </si>
  <si>
    <t>-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</si>
  <si>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</si>
  <si>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t>
  </si>
  <si>
    <t>2020-2021 Water Data Challenge</t>
  </si>
  <si>
    <t>Purify</t>
  </si>
  <si>
    <t>Brown Mundes</t>
  </si>
  <si>
    <t>Ansh Motiani, Adi Gupta, Samhith Kakarla</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</si>
  <si>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</si>
  <si>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</si>
  <si>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</si>
  <si>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</si>
  <si>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</si>
  <si>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needed._x000D_
_x000D_
In addition, we used Census data to find the latitude, longitude, and zipcodes of each community, so we could best display them on our map._x000D_
_x000D_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</si>
  <si>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fore._x000D_
_x000D_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</si>
  <si>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_x000D_
_x000D_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</si>
  <si>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_x000D_
_x000D_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work._x000D_
_x000D_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</si>
  <si>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it._x000D_
_x000D_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_x000D_
_x000D_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work._x000D_
_x000D_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improvement._x000D_
_x000D_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</si>
  <si>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</si>
  <si>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</si>
  <si>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</si>
  <si>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</si>
  <si>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</si>
  <si>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</si>
  <si>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</si>
  <si>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</si>
  <si>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</si>
  <si>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streams._x000D_
_x000D_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_x000D_
_x000D_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</si>
  <si>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_x000D_
_x000D_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_x000D_
_x000D_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</si>
  <si>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</si>
  <si>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</si>
  <si>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_x000D_
_x000D_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transects._x000D_
_x000D_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</si>
  <si>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</si>
  <si>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</si>
  <si>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Illuminare</t>
  </si>
  <si>
    <t>Justin Ziniel, Michael Lutz</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</si>
  <si>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</si>
  <si>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</si>
  <si>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</si>
  <si>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</si>
  <si>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including:_x000D_
- Water Quality Portal data from the National Water Quality Monitoring Council (https://www.waterqualitydata.us) for groundwater test data for inorganic and organic contaminants_x000D_
- Area Deprivation Index (ADI) data from the University of Wisconsin School of Medicine and Public Health (https://www.neighborhoodatlas.medicine.wisc.edu) to quantify disadvantaged neighborhoods_x000D_
- 2015-2019 American Community Survey (ACS) data from the US Census Bureau (https://www.census.gov/programs-surveys/acs) for demographic information_x000D_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</si>
  <si>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</si>
  <si>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</si>
  <si>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</si>
  <si>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dataset._x000D_
_x000D_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</si>
  <si>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</si>
  <si>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</si>
  <si>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</si>
  <si>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</si>
  <si>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</si>
  <si>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</si>
  <si>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</si>
  <si>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https://drinkingwatertool.communitywatercenter.org/data/_x000D_
_x000D_
This list is a brief overview of the data layers and source or reference. We used a range of CA.gov resources, including water.ca.gov, data.cnra.ca.gov, oehha.ca.gov, and others._x000D_
_x000D_
GSA boundary: California Department of Water Resources SGMA Data viewer_x000D_
Groundwater depth: CDWR Groundwater Information Center Interactive Map Application_x000D_
Groundwater basin prioritization level and critically over drafted indicator: SGMA Data viewer_x000D_
_x000D_
Boundaries and Demographics_x000D_
County, Assembly District, Senate District, Alluvial_x000D_
2010 US Census_x000D_
Public Land Survey System _x000D_
Race, ethnicity, median household income, disadvantaged community status etc. for place, tracts and block groups_x000D_
U.S. Census Bureau, 2013-2017 American Community Survey 5-Year Estimates._x000D_
_x000D_
Wells and Drinking Water Systems_x000D_
_x000D_
Municipal or public supply wells _x000D_
Department of Water Resources’ Online System for Well Completion Reports _x000D_
Gailey, R. (2019) Public Supply Well Locations. CWC Drinking Water Tool._x000D_
_x000D_
Private Well Locations _x000D_
Department of Water Resources’ Online System for Well Completion Reports_x000D_
Pace, C., Balazs, C., Cushing, L., Morello-Frosch, R. (2019). UC Berkeley Water Equity Science Shop. Domestic Well Community Boundaries Version 1.0._x000D_
_x000D_
Community water system boundaries _x000D_
Tracking California Water System Service Areas Tool_x000D_
Pace, C., Balazs, C., Cushing, L., Morello-Frosch, R. (2019)  UC Berkeley Water Equity Science Shop. Community Water System Boundaries._x000D_
_x000D_
Water Quality (arsenic, nitrates, chromium, 1,2,3-Trichloropropane) _x000D_
California Office of Environmental Health Hazard Assessment’s (OEHHA) CalEnviroScreeen (CES) 3.0 dataset_x000D_
Pace, C., Balazs, C., Cushing, L., Morello-Frosch, R. (2019)  UC Berkeley Water Equity Science Shop. Community Water System Boundaries- Water Quality. Pace, C., Balazs,_x000D_
C., Cushing, L., Morello-Frosch, R. (2019)  UC Berkeley Water Equity Science Shop. Domestic Well Community Boundaries- Water Quality, Version 1.0._x000D_
_x000D_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https://drinkingwatertool.communitywatercenter.org/data/_x000D_
_x000D_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</si>
  <si>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issues._x000D_
_x000D_
The second goal is exploratory. With the web mapping tool, users can dive deeper into California's many water data layers. Different users can use the data to learn about water quality and water supply. _x000D_
_x000D_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quality)._x000D_
_x000D_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</si>
  <si>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include:_x000D_
_x000D_
1 - Combining both water quantity and water quality data into one tool showcases the different types of vulnerabilities that can exist and treats water more holistically._x000D_
_x000D_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~25%)._x000D_
_x000D_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</si>
  <si>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(https://www.ksbw.com/article/new-online-interactive-tool-helps-californians-prepare-for-future-drought/30900500#)._x000D_
_x000D_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state._x000D_
_x000D_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_x000D_
_x000D_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</si>
  <si>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included:_x000D_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available._x000D_
_x000D_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build!_x000D_
_x000D_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</si>
  <si>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</si>
  <si>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</si>
  <si>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</si>
  <si>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</si>
  <si>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</si>
  <si>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</si>
  <si>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</si>
  <si>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</si>
  <si>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follows:_x000D_
Quarterly PFAS Testing 2019: https://www.waterboards.ca.gov/pfas/drinking_water.html_x000D_
EDT Library, a combination of three tables - chemical, siteloc, storet: https://www.waterboards.ca.gov/drinking_water/certlic/drinkingwater/EDTlibrary.html_x000D_
Landfill Data: https://www.epa.gov/lmop/project-and-landfill-data-state_x000D_
CA DTSC Hazardous Waste Sites: https://www.envirostor.dtsc.ca.gov/public/search?cmd=search&amp;reporttype=CORTESE&amp;site_type=CSITES,FUDS&amp;status=ACT,BKLG,COM&amp;reporttitle=HAZARDOUS+WASTE+AND+SUBSTANCES+SITE+LIST+%28CORTESE%29_x000D_
CA Military Sites: CA Water Boards website, link no longer available._x000D_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</si>
  <si>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data._x000D_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</si>
  <si>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</si>
  <si>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_x000D_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source._x000D_
_x000D_
The working application is hosted on shinyapp.io: https://meldataaa.shinyapps.io/PFAS_Analysis_and_Intervention/_x000D_
_x000D_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</si>
  <si>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_x000D_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again._x000D_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properly._x000D_
_x000D_
For a more significant impact to occur, we would need: _x000D_
All publicly available data on a server that is easily queriable to avoid having to periodically download the needed data as well as avoiding the location of data from changing._x000D_
Marketing and user research to ensure people know about our project._x000D_
More data resources to expand outside of California.</t>
  </si>
  <si>
    <t>@meldataa</t>
  </si>
  <si>
    <t>PFAS_2021.mp4</t>
  </si>
  <si>
    <t>Where’s My Water? : Predicting Renewable Freshwater Resource &amp; Filling in Crucial Data Gaps</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</si>
  <si>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</si>
  <si>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</si>
  <si>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</si>
  <si>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</si>
  <si>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</si>
  <si>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_x000D_
https://data.ca.gov/dataset/ca-usgs-watershed-boundary-dataset-12-digit-hydrologic-units_x000D_
https://data.ca.gov/dataset/watershed-boundary-dataset-wbd_x000D_
https://data.ca.gov/dataset/national-hydrography-dataset-nhd-archive_x000D_
 _x000D_
Climate data from different sources_x000D_
Gridmet, PRISM, SMAP_x000D_
climate.data.gov_x000D_
 _x000D_
Socio-economic datasets :_x000D_
Water rights records_x000D_
https://ciwqs.waterboards.ca.gov/ciwqs/ewrims/EWServlet?Redirect_Page=EWWaterRightPublicSearch.jsp&amp;Purpose=getEWAppSearchPage_x000D_
Water transfers_x000D_
https://www.waterboards.ca.gov/waterrights/water_issues/programs/water_transfers/_x000D_
State water contractor agencies_x000D_
https://swc.org/about-us/_x000D_
Fully Appropriated Stream Systems_x000D_
https://www.waterboards.ca.gov/waterrights/water_issues/programs/fully_appropriated_streams/docs/fas_list.pdf_x000D_
Water Rights Applications: Permitting and Licensing Program_x000D_
https://www.waterboards.ca.gov/waterrights/water_issues/programs/applications/</t>
  </si>
  <si>
    <t>Goals:_x000D_
To improve the quality, usability, and reproducibility of RFWR data and data-enabled analysis per the Challenge_x000D_
To develop a prediction system for RFWR and associated risk, which is usable, dynamic, publicly-available-data-driven, reproducible, AND time and resource efficient_x000D_
_x000D_
The ability to predict and project renewable freshwater resources has many impacts, which include allowing_x000D_
Water managers in cities and towns to plan for delivering drinking water to the almost 40 million Californians_x000D_
Wildfire fighters to plan on where to draw water and where to stage equipment so they can save lives and property_x000D_
Businesses, such as canoe rental companies, that depend on tourism to plan for their seasons_x000D_
Farmers to understand how much water will be available for irrigation in a timely manner so they can continue to feed the nation _x000D_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</si>
  <si>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</si>
  <si>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_x000D_
_x000D_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research._x000D_
_x000D_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_x000D_
_x000D_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_x000D_
_x000D_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</si>
  <si>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</si>
  <si>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</si>
  <si>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</si>
  <si>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</si>
  <si>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</si>
  <si>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</si>
  <si>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</si>
  <si>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</si>
  <si>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</si>
  <si>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</si>
  <si>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</si>
  <si>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</si>
  <si>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</si>
  <si>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</si>
  <si>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</si>
  <si>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</si>
  <si>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</si>
  <si>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</si>
  <si>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</si>
  <si>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</si>
  <si>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</si>
  <si>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Water_x000D_
2) Adapted United Nations Development Program's Human Development Index from evaluating countries to evaluating each county in NM _x000D_
3) Enables policymakers to pinpoint potential policy shortfalls at various levels of state and local government _x000D_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</si>
  <si>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_x000D_
2) An open-source code repository on Github was created to facilitate collaboration, sharing, and reproducibility. _x000D_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</si>
  <si>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_x000D_
2) Translation of dashboard and story map to Spanish will expand accessibility to Spanish-speaking Latinx population in NM _x000D_
3) Measure additional risks in index such as impacts to groundwater _x000D_
4) Estimate the costs of switching from federal to state oversight</t>
  </si>
  <si>
    <t>SubmissionLinks.txt</t>
  </si>
  <si>
    <t>gspdrywells.com - a decision support tool to estimate well failure in critically overdrafted groundwater basins</t>
  </si>
  <si>
    <t>Water Data Lab</t>
  </si>
  <si>
    <t>richpauloo@gmail.com; amonaco@leadershipcounsel.org; djbostic1@gmail.com</t>
  </si>
  <si>
    <t>Berkeley, CA; Fresno, CA; Topanga, CA</t>
  </si>
  <si>
    <t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</si>
  <si>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</si>
  <si>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_x000D_
_x000D_
This project builds off of work done by:_x000D_
`function(water, data){science}` in the 2018 California Water Data Challenge (https://findanewway.ca.gov/2018/11/20/cawaterdatachallenge/)_x000D_
Gailey et al, 2019 (https://link.springer.com/article/10.1007/s10040-019-01929-w)_x000D_
Pauloo et al., 2020 (https://iopscience.iop.org/article/10.1088/1748-9326/ab6f10/meta), _x000D_
Bostic, et al 2020 (https://regionalchange.ucdavis.edu/publication/sustainable-whom-impact-groundwater-sustainability-plans-domestic-wells)_x000D_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</si>
  <si>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_x000D_
_x000D_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</si>
  <si>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_x000D_
_x000D_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</si>
  <si>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located._x000D_
_x000D_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_x000D_
_x000D_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</si>
  <si>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balancing)._x000D_
_x000D_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regions._x000D_
_x000D_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</si>
  <si>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</si>
  <si>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</si>
  <si>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</si>
  <si>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CA Open Water</t>
  </si>
  <si>
    <t>Rich Pauloo, Sadie Gill, Emanuel Rodriguez</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</si>
  <si>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</si>
  <si>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</si>
  <si>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</si>
  <si>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</si>
  <si>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_x000D_
_x000D_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</si>
  <si>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data._x000D_
_x000D_
_x000D_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</si>
  <si>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</si>
  <si>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API._x000D_
_x000D_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</si>
  <si>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</si>
  <si>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</si>
  <si>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</si>
  <si>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</si>
  <si>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</si>
  <si>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</si>
  <si>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</si>
  <si>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</si>
  <si>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</si>
  <si>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</si>
  <si>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</si>
  <si>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</si>
  <si>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</si>
  <si>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</si>
  <si>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Most Engaging by Design</t>
  </si>
  <si>
    <t>Ready-to-Go</t>
  </si>
  <si>
    <t>Honorable Mention</t>
  </si>
  <si>
    <t>Using Smart Drones With Artificial Intelligence To Keep Our Water Safe</t>
  </si>
  <si>
    <t>Automated water quality monitoring, proactive alerts, and forecasting must be efficient and also cost-effective using drones and artificial intelligence that work tirelessly and continuously, 24/7.</t>
  </si>
  <si>
    <t>Santiago Cabalquinto Jr</t>
  </si>
  <si>
    <t>- [Shiny Dashboard](https://shiny.newmexicowaterdata.org/nmwaterdatachallenge/)
- [ArcGIS Story Map](https://arcg.is/1Lvi9W0)
- [Github Repo](https://github.com/NMWDI/NMWaterDataChallenge2020)</t>
  </si>
  <si>
    <t>Notes:</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</si>
  <si>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</si>
  <si>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Only the information in the yellow colored fields (in Row 1) is directly used to build the project webpages. Enter/edit information in these fields to change what appears in the generated website.</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</si>
  <si>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</si>
  <si>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</si>
  <si>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Frankie Ridolfi, Steven Hamann</t>
  </si>
  <si>
    <t>Krishna Bhogaonker, Xiuyang Guan, Jose Gustavo, Benjamin Kinsella, Indrani Pal, Valerie Were</t>
  </si>
  <si>
    <t>Wesley Chioh, Ana Gomez Lemmen Meyer</t>
  </si>
  <si>
    <t>Rich Pauloo, Amanda Monaco, Darcy Bostic</t>
  </si>
  <si>
    <t>Eric Bollens, Jason Locklin, Jonny Sandu, Justin Grewal, Amanda Iaali, Kelvin Liu, Bryan Pastor, Grant Sharp</t>
  </si>
  <si>
    <t>Equity</t>
  </si>
  <si>
    <t>Team Spirit and Collaboration</t>
  </si>
  <si>
    <t>Peoples Choice | Ready-to-Go</t>
  </si>
  <si>
    <t>Peoples Choice</t>
  </si>
  <si>
    <t>Most Data-licious</t>
  </si>
  <si>
    <t>award_name</t>
  </si>
  <si>
    <t>award_badge</t>
  </si>
  <si>
    <t>award_description</t>
  </si>
  <si>
    <t>\U0001F3C6</t>
  </si>
  <si>
    <t>This award is new in 2019 and it aims to recognize the importance of scalability. The project that gets this award demonstrates impact at more than one scale and should have characteristics that reflect the success gained from iterating over multiple engagements with multiple parties at different scales.</t>
  </si>
  <si>
    <t>To honor the team that has had the most impact on communities and their interests, we are excited to announce the inaugural Enduring Civic Engagement Award. This award recognizes the importance of iteration, the value of gathering civic interests and honoring the community perspective on water data value.</t>
  </si>
  <si>
    <t>This award looks at the most ambitious or highest potential for large impact as well as compelling concept and Creativity in approach.</t>
  </si>
  <si>
    <t>This award is intended to recognize projects that effectively integrate data from different sources or organizations, including their own data.</t>
  </si>
  <si>
    <t>People's Choice</t>
  </si>
  <si>
    <t>This award recognizes the project that has received the most votes from the summit's in-person participants.</t>
  </si>
  <si>
    <t>This award looks at feasibility of implementation. It addresses real-world needs relevant to drinking water issues, demonstrating an understanding of constraints, including cost of implementation. It works “as is”, and has some level of interoperability with existing work or systems.</t>
  </si>
  <si>
    <t>This award is intended to recognize an emerging group of leaders in the water, technology, or innovation fields. The team demonstrated an innovative approach, has high leadership potential, and a diversity of organizations.</t>
  </si>
  <si>
    <t>topic_name</t>
  </si>
  <si>
    <t>topic_description</t>
  </si>
  <si>
    <t>Is water affordable? For many people, the answer is: unfortunately, not really.
These projects focus on using existing water data to quantify the economic impact of water on people and communities using it.</t>
  </si>
  <si>
    <t>Projects concerning groundwater.</t>
  </si>
  <si>
    <t>These projects study the status of water infrastructure in California.</t>
  </si>
  <si>
    <t>Devices, software, and protocols, to enable better water data collection, processing, and analysis.</t>
  </si>
  <si>
    <t>As part of a call for commitments to further support the role of a data to solve water challenges, Imagine H2O awarded $1,500 cash and select accelerator services to one team from the Challenge whose solution best meets the following criteria:
- Impact - improves drinking water access and resiliency
- Scalability - enables broad deployment of drinking water solutions
- Innovation - sets forth a unique solution</t>
  </si>
  <si>
    <t>event_name</t>
  </si>
  <si>
    <t>event_year</t>
  </si>
  <si>
    <t>event_description</t>
  </si>
  <si>
    <t>- [Event Announcement (White House)](https://obamawhitehouse.archives.gov/blog/2016/10/28/using-data-build-sustainable-water-future)
- [Event Announcement (CA Water Board)](https://www.waterboards.ca.gov/press_room/press_releases/2016/pr102816_data_challenge.pdf)
- [Winners and Event Recap](https://www.waterboards.ca.gov/press_room/press_releases/2016/pr121516.pdf)</t>
  </si>
  <si>
    <t>- [Event Website](https://www.waterboards.ca.gov/resources/data_databases/data_innov_challenge.html)</t>
  </si>
  <si>
    <t>projects_count</t>
  </si>
  <si>
    <t xml:space="preserve"> - The information in the awards_table, topics_table, and events_table sheets are linked to the projects_table sheet, in the sense that they provide the valid values for certain fields in the projects_table sheet. If you don't see the award/topic/event you need in the dropdown menu in one of those fields, add it to the appropriate table first (along with the associated information), which will make it available in the dropdown menu.</t>
  </si>
  <si>
    <t>- See the comments in the first row of each table for instructions about how to enter new project information in the correct format</t>
  </si>
  <si>
    <t>Overall Winner</t>
  </si>
  <si>
    <t>Overall winner of the competition.</t>
  </si>
  <si>
    <t>- [Website](https://www.gspdrywells.com/)
- [Overview Video](https://drive.google.com/file/d/1jbgHuAxjyWAICaQb_L_V3ejVB5krgmhx/view?usp=sharing)</t>
  </si>
  <si>
    <t>- [Project Website](https://caopenwater.github.io/sdwisard/)
- [Project Github](https://github.com/CAopenwater/sdwisard)
- [Overview Video](https://youtu.be/BlXSTWCk5O8)</t>
  </si>
  <si>
    <t>- [Project Website](https://purify-16131.web.app)
- [Overview Video](https://drive.google.com/file/d/1kai0_PXFeZxfxmmDe-mFhZ2e4XEjv7MP/view?usp=sharing)</t>
  </si>
  <si>
    <t>- [Project Website](https://public.tableau.com/views/CaliforniaWaterQualityCensus/
WaterQualityCensusDashboard)
- [Overview Video](https://drive.google.com/file/d/1E7heJkHM8H-aq38sRdBpqmr4CvA9K2xa/view?usp=sharing)</t>
  </si>
  <si>
    <t>- [Presentation 1](https://drive.google.com/file/d/1jkBKrAvUfAfTpR6v0bky4x0To2iCbXNB/view?usp=sharing)
- [Presentation 2](https://drive.google.com/file/d/1VL5OPcsWrT5miTlCGQNwxNwzOZQw5Gd6/view?usp=sharing)</t>
  </si>
  <si>
    <t>`- [Application](https://ca-water-dataviz.herokuapp.com/)
- [Overview Video](https://drive.google.com/file/d/1juwMRD_3ADuF4ZNIPzq6lokuNyaqLpda/view?usp=sharing)</t>
  </si>
  <si>
    <t>- [Application](https://meldataaa.shinyapps.io/PFAS_Analysis_and_Intervention/)
- [GitHub Repository](https://github.com/meldataaa/PFAS_Analysis_and_Intervention)
- [Overview Video](https://drive.google.com/file/d/1P2BAixRCR96YhqvQwzU9XKGUL8I504gi/view?usp=sharing)</t>
  </si>
  <si>
    <t>- [Application](https://drinkingwatertool.communitywatercenter.org/)
- [Overview Video](https://drive.google.com/file/d/1PQyXIS9Ty4QcmKgHmp5JXjT9S3T5HgET/view?usp=sharing)</t>
  </si>
  <si>
    <t>- [Presentation: Endora](http://www.waterboards.ca.gov/resources/data_databases/docs/endora_pres.mp4#)
- [Slides: Endora](http://www.waterboards.ca.gov/resources/data_databases/docs/endora.pdf#)</t>
  </si>
  <si>
    <t>- [Presentation: Preliminary Analysis of Surface Water Toxicity Dataset](http://www.waterboards.ca.gov/resources/data_databases/docs/prelimanalysis_pres.mp4#)
- [Slides: Preliminary Analysis of Surface Water Toxicity Dataset](http://www.waterboards.ca.gov/resources/data_databases/docs/prelimanalysis.pdf#)</t>
  </si>
  <si>
    <t>- [Slides](https://drive.google.com/file/d/0B5n4IeHrVBinS1FyeEJkMHdaZ2c/view?resourcekey=0-YQ2WWx4xoOPwoTJXYIMr9Q)
- &lt;https://cadwr.databasin.org/&gt;</t>
  </si>
  <si>
    <t>https://drive.google.com/file/d/0B5n4IeHrVBinS1FyeEJkMHdaZ2c/view?resourcekey=0-YQ2WWx4xoOPwoTJXYIMr9Q</t>
  </si>
  <si>
    <t>https://drive.google.com/file/d/0B5n4IeHrVBinVlhwSkVWZ1l1Ukk/view?resourcekey=0-P4i2jPBw4GYnAwVu6dArCg</t>
  </si>
  <si>
    <t>- [Slides](https://drive.google.com/file/d/0B5n4IeHrVBinVlhwSkVWZ1l1Ukk/view?resourcekey=0-P4i2jPBw4GYnAwVu6dArCg)
- &lt;www.epiphiny.com&gt;
- &lt;www.realgw.com&gt;</t>
  </si>
  <si>
    <t>- [Slides](https://drive.google.com/file/d/0B5n4IeHrVBinRllSY004WFd4X0U/view?resourcekey=0-SblfcotEzjAQPVxJcYg1jQ)
- &lt;http://gswell.abbaroo.com/&gt;</t>
  </si>
  <si>
    <t>https://drive.google.com/file/d/0B5n4IeHrVBinRllSY004WFd4X0U/view?resourcekey=0-SblfcotEzjAQPVxJcYg1jQ</t>
  </si>
  <si>
    <t>- &lt;http://public.tableau.com/views/GITTES-viz/Dashboard2?:showVizHome=no#1&gt;
- &lt;https://drive.google.com/open?id=0B5n4IeHrVBinN19LbklYa0NRaUU&gt;</t>
  </si>
  <si>
    <t>Identifying communities with a high risk of shortage using a multifactor vulnerability score</t>
  </si>
  <si>
    <t>- [Project webpage](http://arcg.is/19OXPW)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</si>
</sst>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u/>
      <sz val="10"/>
      <color theme="10"/>
      <name val="Calibri"/>
      <family val="2"/>
      <scheme val="minor"/>
    </font>
    <font>
      <sz val="10"/>
      <color theme="1"/>
      <name val="Calibri"/>
      <family val="2"/>
    </font>
    <font>
      <sz val="8"/>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horizontal="center" wrapText="1"/>
    </xf>
    <xf numFmtId="0" fontId="0" fillId="0" borderId="0" xfId="0" applyAlignment="1">
      <alignment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1" applyFont="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3" fillId="0" borderId="1" xfId="0" applyFont="1" applyBorder="1" applyAlignment="1">
      <alignment vertical="center"/>
    </xf>
    <xf numFmtId="0" fontId="2" fillId="0" borderId="0" xfId="1" applyAlignment="1">
      <alignment wrapText="1"/>
    </xf>
    <xf numFmtId="0" fontId="0" fillId="0" borderId="0" xfId="0" quotePrefix="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1" fillId="6" borderId="0" xfId="0" applyFont="1" applyFill="1" applyAlignment="1">
      <alignment horizontal="center" wrapText="1"/>
    </xf>
    <xf numFmtId="0" fontId="1" fillId="7" borderId="0" xfId="0" applyFont="1" applyFill="1" applyAlignment="1">
      <alignment horizontal="center" wrapText="1"/>
    </xf>
    <xf numFmtId="0" fontId="1" fillId="0" borderId="0" xfId="0" applyFont="1" applyAlignment="1">
      <alignment horizontal="center"/>
    </xf>
    <xf numFmtId="0" fontId="1" fillId="6" borderId="0" xfId="0" applyFont="1" applyFill="1" applyAlignment="1">
      <alignment horizontal="center"/>
    </xf>
    <xf numFmtId="0" fontId="1" fillId="7" borderId="0" xfId="0" applyFont="1" applyFill="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Altare, David@Waterboards" id="{73C0AF9C-89C8-4DE6-AEDD-B3E82BC3F85F}" userId="S::David.Altare@Waterboards.ca.gov::8871247b-0925-498b-aaa6-97bc357c19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2-06-02T19:22:18.21" personId="{73C0AF9C-89C8-4DE6-AEDD-B3E82BC3F85F}" id="{A5FABBA2-D5BE-4FAC-9EF4-083A91210413}">
    <text>Use the drop-down menu to select a event/year. If you need to add a new event/year, add it to the 'events_table' sheet first, then select it from the drop-down menu.</text>
  </threadedComment>
  <threadedComment ref="B1" dT="2022-06-02T19:22:25.49" personId="{73C0AF9C-89C8-4DE6-AEDD-B3E82BC3F85F}" id="{D5DDDA79-6F16-43E9-8649-A39ED59E1449}">
    <text>Use the drop-down menu to select a event/year. If you need to add a new event/year, add it to the 'events_table' sheet first, then select it from the drop-down menu.</text>
  </threadedComment>
  <threadedComment ref="D1" dT="2022-05-24T23:27:09.51" personId="{73C0AF9C-89C8-4DE6-AEDD-B3E82BC3F85F}" id="{575FA15F-54C9-42DC-A117-E1B3C4FB8AA0}">
    <text>Enter "FALSE" to prevent the project info from being published to the project repository website (otherwise enter "TRUE" to publish the project info)</text>
  </threadedComment>
  <threadedComment ref="E1" dT="2022-06-02T19:19:26.78" personId="{73C0AF9C-89C8-4DE6-AEDD-B3E82BC3F85F}" id="{7905DBFA-B968-43F8-BF42-260F4EBEE4E1}">
    <text>separate names with a comma (","), and only use commas for that purpose (e.g., don't enter "John Doe, PhD")</text>
  </threadedComment>
  <threadedComment ref="F1" dT="2022-05-24T20:48:28.54" personId="{73C0AF9C-89C8-4DE6-AEDD-B3E82BC3F85F}" id="{5F86B450-7967-42F1-BEF9-5B80BEE1A86A}">
    <text>copy-and-paste (as values) from the "resources-build" field to populate this field</text>
  </threadedComment>
  <threadedComment ref="G1" dT="2022-06-01T18:55:48.87" personId="{73C0AF9C-89C8-4DE6-AEDD-B3E82BC3F85F}" id="{042B6545-CB92-477A-9DD3-1E44742CA811}">
    <text>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ext>
  </threadedComment>
  <threadedComment ref="H1" dT="2022-06-01T18:55:17.54" personId="{73C0AF9C-89C8-4DE6-AEDD-B3E82BC3F85F}" id="{5EFB7834-6C89-49B1-9A28-686B74C58FF0}">
    <text>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ext>
  </threadedComment>
  <threadedComment ref="L1" dT="2022-05-24T20:50:31.97" personId="{73C0AF9C-89C8-4DE6-AEDD-B3E82BC3F85F}" id="{C6290CE9-DC76-493D-8D55-C976306998A0}">
    <text>!!! NOTE: This field contains custom formulas that are unique to each event/year (don't fill all cells with the top formula) !!!</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2-06-02T02:09:56.20" personId="{73C0AF9C-89C8-4DE6-AEDD-B3E82BC3F85F}" id="{558952F1-BC62-4AD4-B4BF-AF41EE44BBDD}">
    <text>see here for unicode icons: https://unicode.org/emoji/charts/full-emoji-list.html</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www.waterboards.ca.gov/resources/data_databases/docs/endora.pdf" TargetMode="External"/><Relationship Id="rId18" Type="http://schemas.openxmlformats.org/officeDocument/2006/relationships/hyperlink" Target="http://wqexplorer.cloudcompli.com/" TargetMode="External"/><Relationship Id="rId26" Type="http://schemas.openxmlformats.org/officeDocument/2006/relationships/hyperlink" Target="http://www.waterboards.ca.gov/resources/data_databases/docs/prelimanalysis_pres.mp4" TargetMode="External"/><Relationship Id="rId39" Type="http://schemas.openxmlformats.org/officeDocument/2006/relationships/hyperlink" Target="https://drive.google.com/file/d/0B5n4IeHrVBinWXBxa2lCSkZ1dlk/view?resourcekey=0-oKk-NdHuG7_7FsvExBIIgg" TargetMode="External"/><Relationship Id="rId21" Type="http://schemas.openxmlformats.org/officeDocument/2006/relationships/hyperlink" Target="http://www.waterboards.ca.gov/resources/data_databases/docs/damsofca_pres.mp4" TargetMode="External"/><Relationship Id="rId34" Type="http://schemas.openxmlformats.org/officeDocument/2006/relationships/hyperlink" Target="https://flowwest.shinyapps.io/flowwest_floodplain_habitat_finder/" TargetMode="External"/><Relationship Id="rId42" Type="http://schemas.openxmlformats.org/officeDocument/2006/relationships/hyperlink" Target="https://drive.google.com/file/d/0B5n4IeHrVBinS1FyeEJkMHdaZ2c/view?resourcekey=0-YQ2WWx4xoOPwoTJXYIMr9Q" TargetMode="External"/><Relationship Id="rId47" Type="http://schemas.microsoft.com/office/2017/10/relationships/threadedComment" Target="../threadedComments/threadedComment1.xml"/><Relationship Id="rId7" Type="http://schemas.openxmlformats.org/officeDocument/2006/relationships/hyperlink" Target="https://github.com/ucd-cwee/greengov-challenge" TargetMode="External"/><Relationship Id="rId2" Type="http://schemas.openxmlformats.org/officeDocument/2006/relationships/hyperlink" Target="http://www.waterboards.ca.gov/resources/data_databases/docs/damsofca.pdf" TargetMode="External"/><Relationship Id="rId16" Type="http://schemas.openxmlformats.org/officeDocument/2006/relationships/hyperlink" Target="https://github.com/cloudcompli/wqexplorer" TargetMode="External"/><Relationship Id="rId29" Type="http://schemas.openxmlformats.org/officeDocument/2006/relationships/hyperlink" Target="https://drive.google.com/file/d/0B5n4IeHrVBinMGxtcVp0M1YtbDQ/view?resourcekey=0-fDKdS5WlG96ZJQZpvABRpA" TargetMode="External"/><Relationship Id="rId1" Type="http://schemas.openxmlformats.org/officeDocument/2006/relationships/hyperlink" Target="https://public.tableau.com/profile/roy.fleshman" TargetMode="External"/><Relationship Id="rId6" Type="http://schemas.openxmlformats.org/officeDocument/2006/relationships/hyperlink" Target="https://cwee.shinyapps.io/greengov/" TargetMode="External"/><Relationship Id="rId11" Type="http://schemas.openxmlformats.org/officeDocument/2006/relationships/hyperlink" Target="http://www.waterboards.ca.gov/resources/data_databases/docs/demwaterdata.pdf" TargetMode="External"/><Relationship Id="rId24" Type="http://schemas.openxmlformats.org/officeDocument/2006/relationships/hyperlink" Target="http://www.waterboards.ca.gov/resources/data_databases/docs/aggregatingdata_pres.mp4" TargetMode="External"/><Relationship Id="rId32" Type="http://schemas.openxmlformats.org/officeDocument/2006/relationships/hyperlink" Target="https://drive.google.com/open?id=0B5n4IeHrVBinT3NlRndpam85Y2c" TargetMode="External"/><Relationship Id="rId37" Type="http://schemas.openxmlformats.org/officeDocument/2006/relationships/hyperlink" Target="http://storageaf.wixsite.com/shastadam" TargetMode="External"/><Relationship Id="rId40" Type="http://schemas.openxmlformats.org/officeDocument/2006/relationships/hyperlink" Target="http://kyliepace.github.io/waterChallenge" TargetMode="External"/><Relationship Id="rId45" Type="http://schemas.openxmlformats.org/officeDocument/2006/relationships/vmlDrawing" Target="../drawings/vmlDrawing1.vml"/><Relationship Id="rId5" Type="http://schemas.openxmlformats.org/officeDocument/2006/relationships/hyperlink" Target="https://public.tableau.com/profile/mark.tompkins" TargetMode="External"/><Relationship Id="rId15" Type="http://schemas.openxmlformats.org/officeDocument/2006/relationships/hyperlink" Target="http://www.waterboards.ca.gov/resources/data_databases/docs/mscortana.pdf" TargetMode="External"/><Relationship Id="rId23" Type="http://schemas.openxmlformats.org/officeDocument/2006/relationships/hyperlink" Target="http://www.waterboards.ca.gov/resources/data_databases/docs/demwaterdata_pres.mp4" TargetMode="External"/><Relationship Id="rId28" Type="http://schemas.openxmlformats.org/officeDocument/2006/relationships/hyperlink" Target="http://www.waterboards.ca.gov/resources/data_databases/docs/bioassesswq_pres.mp4" TargetMode="External"/><Relationship Id="rId36" Type="http://schemas.openxmlformats.org/officeDocument/2006/relationships/hyperlink" Target="https://drive.google.com/file/d/0B5n4IeHrVBinaWRleWZ1QVJRZ0k/view?resourcekey=0-eZCjxx_PJjVAxJ_nnHIdXA" TargetMode="External"/><Relationship Id="rId10" Type="http://schemas.openxmlformats.org/officeDocument/2006/relationships/hyperlink" Target="http://www.civicdashboards.com/project/cawater" TargetMode="External"/><Relationship Id="rId19" Type="http://schemas.openxmlformats.org/officeDocument/2006/relationships/hyperlink" Target="http://wqexplorer.cloudcompli.com/paper" TargetMode="External"/><Relationship Id="rId31" Type="http://schemas.openxmlformats.org/officeDocument/2006/relationships/hyperlink" Target="https://github.com/patriciagm4/ca-data-challenge" TargetMode="External"/><Relationship Id="rId44" Type="http://schemas.openxmlformats.org/officeDocument/2006/relationships/hyperlink" Target="https://drive.google.com/file/d/0B5n4IeHrVBinRllSY004WFd4X0U/view?resourcekey=0-SblfcotEzjAQPVxJcYg1jQ" TargetMode="External"/><Relationship Id="rId4" Type="http://schemas.openxmlformats.org/officeDocument/2006/relationships/hyperlink" Target="http://www.waterboards.ca.gov/resources/data_databases/docs/wateracidity.pdf" TargetMode="External"/><Relationship Id="rId9" Type="http://schemas.openxmlformats.org/officeDocument/2006/relationships/hyperlink" Target="http://catalog.civicdashboards.com/dataset/water-data-with-demographics" TargetMode="External"/><Relationship Id="rId14" Type="http://schemas.openxmlformats.org/officeDocument/2006/relationships/hyperlink" Target="http://www.waterboards.ca.gov/resources/data_databases/docs/prelimanalysis.pdf" TargetMode="External"/><Relationship Id="rId22" Type="http://schemas.openxmlformats.org/officeDocument/2006/relationships/hyperlink" Target="http://www.waterboards.ca.gov/resources/data_databases/docs/cah2open_pres.mp4" TargetMode="External"/><Relationship Id="rId27" Type="http://schemas.openxmlformats.org/officeDocument/2006/relationships/hyperlink" Target="http://www.waterboards.ca.gov/resources/data_databases/docs/microsoft_pres.mp4" TargetMode="External"/><Relationship Id="rId30" Type="http://schemas.openxmlformats.org/officeDocument/2006/relationships/hyperlink" Target="https://github.com/bayesimpact/water" TargetMode="External"/><Relationship Id="rId35" Type="http://schemas.openxmlformats.org/officeDocument/2006/relationships/hyperlink" Target="https://drive.google.com/open?id=0B5n4IeHrVBineUxWR25HTWNTZzQ" TargetMode="External"/><Relationship Id="rId43" Type="http://schemas.openxmlformats.org/officeDocument/2006/relationships/hyperlink" Target="https://drive.google.com/file/d/0B5n4IeHrVBinVlhwSkVWZ1l1Ukk/view?resourcekey=0-P4i2jPBw4GYnAwVu6dArCg" TargetMode="External"/><Relationship Id="rId8" Type="http://schemas.openxmlformats.org/officeDocument/2006/relationships/hyperlink" Target="http://www.waterboards.ca.gov/resources/data_databases/docs/cah2open.pdf" TargetMode="External"/><Relationship Id="rId3"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12" Type="http://schemas.openxmlformats.org/officeDocument/2006/relationships/hyperlink" Target="http://www.waterboards.ca.gov/resources/data_databases/docs/aggregatingdata.pdf" TargetMode="External"/><Relationship Id="rId17" Type="http://schemas.openxmlformats.org/officeDocument/2006/relationships/hyperlink" Target="https://github.com/cloudcompli/wqinspector" TargetMode="External"/><Relationship Id="rId25" Type="http://schemas.openxmlformats.org/officeDocument/2006/relationships/hyperlink" Target="http://www.waterboards.ca.gov/resources/data_databases/docs/endora_pres.mp4" TargetMode="External"/><Relationship Id="rId33"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drive.google.com/file/d/0B5n4IeHrVBinODNsWnpxLUQwRms/view?resourcekey=0-JrFW-I6y4YRQgYT00-Kw8g" TargetMode="External"/><Relationship Id="rId46" Type="http://schemas.openxmlformats.org/officeDocument/2006/relationships/comments" Target="../comments1.xml"/><Relationship Id="rId20" Type="http://schemas.openxmlformats.org/officeDocument/2006/relationships/hyperlink" Target="https://msit.powerbi.com/view?r=eyJrIjoiNDUwMDIyN2UtM2E2OC00ZTBlLWEwYjYtMzgzMDllY2M3OTYwIiwidCI6IjcyZjk4OGJmLTg2ZjEtNDFhZi05MWFiLTJkN2NkMDExZGI0NyIsImMiOjV9" TargetMode="External"/><Relationship Id="rId41" Type="http://schemas.openxmlformats.org/officeDocument/2006/relationships/hyperlink" Target="https://drive.google.com/file/d/0B5n4IeHrVBinWnN2eWVHM1g4aFE/view?resourcekey=0-HcUn236odEPuW98wyUUuyQ"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84754-7665-4840-828D-EA5C6E306BCB}">
  <dimension ref="A1:A6"/>
  <sheetViews>
    <sheetView zoomScale="70" zoomScaleNormal="70" workbookViewId="0"/>
  </sheetViews>
  <sheetFormatPr defaultRowHeight="14.5" x14ac:dyDescent="0.35"/>
  <cols>
    <col min="1" max="1" width="104.08984375" style="2" customWidth="1"/>
  </cols>
  <sheetData>
    <row r="1" spans="1:1" x14ac:dyDescent="0.35">
      <c r="A1" s="2" t="s">
        <v>641</v>
      </c>
    </row>
    <row r="2" spans="1:1" ht="29" x14ac:dyDescent="0.35">
      <c r="A2" s="10" t="s">
        <v>682</v>
      </c>
    </row>
    <row r="3" spans="1:1" ht="29" x14ac:dyDescent="0.35">
      <c r="A3" s="10" t="s">
        <v>643</v>
      </c>
    </row>
    <row r="4" spans="1:1" ht="43.5" x14ac:dyDescent="0.35">
      <c r="A4" s="10" t="s">
        <v>642</v>
      </c>
    </row>
    <row r="5" spans="1:1" ht="58" x14ac:dyDescent="0.35">
      <c r="A5" s="10" t="s">
        <v>681</v>
      </c>
    </row>
    <row r="6" spans="1:1" ht="43.5" x14ac:dyDescent="0.35">
      <c r="A6" s="10" t="s">
        <v>644</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8"/>
  <sheetViews>
    <sheetView tabSelected="1" zoomScale="50" zoomScaleNormal="50" workbookViewId="0">
      <pane xSplit="3" ySplit="1" topLeftCell="D67" activePane="bottomRight" state="frozen"/>
      <selection pane="topRight" activeCell="D1" sqref="D1"/>
      <selection pane="bottomLeft" activeCell="A2" sqref="A2"/>
      <selection pane="bottomRight" activeCell="A68" sqref="A68"/>
    </sheetView>
  </sheetViews>
  <sheetFormatPr defaultRowHeight="14.5" x14ac:dyDescent="0.35"/>
  <cols>
    <col min="1" max="1" width="6" style="2" customWidth="1"/>
    <col min="2" max="2" width="17.453125" style="2" customWidth="1"/>
    <col min="3" max="5" width="30.7265625" style="2" customWidth="1"/>
    <col min="6" max="6" width="91.6328125" style="2" customWidth="1"/>
    <col min="7" max="8" width="30.7265625" style="2" customWidth="1"/>
    <col min="9" max="9" width="157.6328125" style="2" customWidth="1"/>
    <col min="10" max="11" width="30.7265625" style="2" customWidth="1"/>
    <col min="12" max="12" width="68.7265625" style="2" customWidth="1"/>
    <col min="13" max="13" width="30.7265625" style="2" customWidth="1"/>
    <col min="14" max="14" width="26.26953125" style="2" customWidth="1"/>
    <col min="15" max="15" width="125" style="2" customWidth="1"/>
    <col min="16" max="21" width="34.6328125" style="2" customWidth="1"/>
    <col min="22" max="22" width="20.7265625" style="2" customWidth="1"/>
    <col min="23" max="24" width="26.7265625" style="2" customWidth="1"/>
    <col min="25" max="25" width="43.6328125" style="2" customWidth="1"/>
    <col min="26" max="26" width="26.7265625" style="2" customWidth="1"/>
    <col min="27" max="32" width="54.36328125" style="2" customWidth="1"/>
    <col min="33" max="34" width="26.7265625" style="2" customWidth="1"/>
    <col min="35" max="16384" width="8.7265625" style="2"/>
  </cols>
  <sheetData>
    <row r="1" spans="1:34" s="1" customFormat="1" ht="43.5" x14ac:dyDescent="0.35">
      <c r="A1" s="15" t="s">
        <v>6</v>
      </c>
      <c r="B1" s="15" t="s">
        <v>110</v>
      </c>
      <c r="C1" s="15" t="s">
        <v>0</v>
      </c>
      <c r="D1" s="15" t="s">
        <v>414</v>
      </c>
      <c r="E1" s="15" t="s">
        <v>2</v>
      </c>
      <c r="F1" s="15" t="s">
        <v>157</v>
      </c>
      <c r="G1" s="15" t="s">
        <v>5</v>
      </c>
      <c r="H1" s="15" t="s">
        <v>7</v>
      </c>
      <c r="I1" s="15" t="s">
        <v>8</v>
      </c>
      <c r="J1" s="16" t="s">
        <v>1</v>
      </c>
      <c r="K1" s="16" t="s">
        <v>3</v>
      </c>
      <c r="L1" s="16" t="s">
        <v>194</v>
      </c>
      <c r="M1" s="16" t="s">
        <v>4</v>
      </c>
      <c r="N1" s="16" t="s">
        <v>203</v>
      </c>
      <c r="O1" s="16" t="s">
        <v>197</v>
      </c>
      <c r="P1" s="16" t="s">
        <v>202</v>
      </c>
      <c r="Q1" s="16" t="s">
        <v>201</v>
      </c>
      <c r="R1" s="16" t="s">
        <v>200</v>
      </c>
      <c r="S1" s="16" t="s">
        <v>199</v>
      </c>
      <c r="T1" s="16" t="s">
        <v>198</v>
      </c>
      <c r="U1" s="16" t="s">
        <v>204</v>
      </c>
      <c r="V1" s="16" t="s">
        <v>415</v>
      </c>
      <c r="W1" s="16" t="s">
        <v>622</v>
      </c>
      <c r="X1" s="16" t="s">
        <v>623</v>
      </c>
      <c r="Y1" s="16" t="s">
        <v>624</v>
      </c>
      <c r="Z1" s="16" t="s">
        <v>625</v>
      </c>
      <c r="AA1" s="16" t="s">
        <v>626</v>
      </c>
      <c r="AB1" s="16" t="s">
        <v>627</v>
      </c>
      <c r="AC1" s="16" t="s">
        <v>628</v>
      </c>
      <c r="AD1" s="16" t="s">
        <v>629</v>
      </c>
      <c r="AE1" s="16" t="s">
        <v>630</v>
      </c>
      <c r="AF1" s="16" t="s">
        <v>631</v>
      </c>
      <c r="AG1" s="16" t="s">
        <v>632</v>
      </c>
      <c r="AH1" s="16" t="s">
        <v>633</v>
      </c>
    </row>
    <row r="2" spans="1:34" ht="188.5" x14ac:dyDescent="0.35">
      <c r="A2" s="12">
        <v>2016</v>
      </c>
      <c r="B2" s="12" t="s">
        <v>152</v>
      </c>
      <c r="C2" s="3" t="s">
        <v>153</v>
      </c>
      <c r="D2" s="2" t="b">
        <v>1</v>
      </c>
      <c r="E2" s="4" t="s">
        <v>650</v>
      </c>
      <c r="F2" s="10" t="s">
        <v>486</v>
      </c>
      <c r="H2" s="2" t="s">
        <v>683</v>
      </c>
      <c r="I2" s="4" t="s">
        <v>113</v>
      </c>
      <c r="J2" s="4"/>
      <c r="L2" s="2" t="str" cm="1">
        <f t="array" ref="L2">IF(P2="–", "", "- ["&amp;PROPER(P2)&amp;"]("&amp;GetURL(P2)&amp;")") &amp;
IF(Q2="–", "", "
- ["&amp;PROPER(Q2)&amp;"]("&amp;GetURL(Q2)&amp;")") &amp;
IF(R2="–", "", "
- ["&amp;PROPER(R2)&amp;"]("&amp;GetURL(R2)&amp;")") &amp;
IF(S2="–", "", "
- ["&amp;PROPER(S2)&amp;"]("&amp;GetURL(S2)&amp;")") &amp;
IF(T2="–", "", "
- ["&amp;PROPER(T2)&amp;"]("&amp;GetURL(T2)&amp;")") &amp;
IF(U2="–", "", "
- ["&amp;PROPER(U2)&amp;"]("&amp;GetURL(U2)&amp;")")</f>
        <v>-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v>
      </c>
      <c r="N2" s="4" t="s">
        <v>156</v>
      </c>
      <c r="O2" s="4" t="s">
        <v>114</v>
      </c>
      <c r="P2" s="5" t="s">
        <v>458</v>
      </c>
      <c r="Q2" s="5" t="s">
        <v>459</v>
      </c>
      <c r="R2" s="5" t="s">
        <v>467</v>
      </c>
      <c r="S2" s="5" t="s">
        <v>469</v>
      </c>
      <c r="T2" s="5" t="s">
        <v>470</v>
      </c>
      <c r="U2" s="5" t="s">
        <v>478</v>
      </c>
      <c r="W2" s="9"/>
    </row>
    <row r="3" spans="1:34" ht="156" x14ac:dyDescent="0.35">
      <c r="A3" s="12">
        <v>2016</v>
      </c>
      <c r="B3" s="12" t="s">
        <v>152</v>
      </c>
      <c r="C3" s="3" t="s">
        <v>154</v>
      </c>
      <c r="D3" s="2" t="b">
        <v>1</v>
      </c>
      <c r="E3" s="4" t="s">
        <v>116</v>
      </c>
      <c r="F3" s="10" t="s">
        <v>487</v>
      </c>
      <c r="H3" s="2" t="s">
        <v>155</v>
      </c>
      <c r="I3" s="4" t="s">
        <v>117</v>
      </c>
      <c r="J3" s="4"/>
      <c r="L3" s="2" t="str" cm="1">
        <f t="array" ref="L3">IF(P3="–", "", "- ["&amp;P3&amp;"]("&amp;GetURL(P3)&amp;")") &amp;
IF(Q3="–", "", "
- ["&amp;Q3&amp;"]("&amp;GetURL(Q3)&amp;")") &amp;
IF(R3="–", "", "
- ["&amp;R3&amp;"]("&amp;GetURL(R3)&amp;")") &amp;
IF(S3="–", "", "
- ["&amp;S3&amp;"]("&amp;GetURL(S3)&amp;")") &amp;
IF(T3="–", "", "
- ["&amp;T3&amp;"]("&amp;GetURL(T3)&amp;")") &amp;
IF(U3="–", "", "
- ["&amp;U3&amp;"]("&amp;GetURL(U3)&amp;")")</f>
        <v>-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v>
      </c>
      <c r="N3" s="4" t="s">
        <v>115</v>
      </c>
      <c r="O3" s="4" t="s">
        <v>118</v>
      </c>
      <c r="P3" s="5" t="s">
        <v>460</v>
      </c>
      <c r="Q3" s="5" t="s">
        <v>468</v>
      </c>
      <c r="R3" s="6" t="s">
        <v>119</v>
      </c>
      <c r="S3" s="6" t="s">
        <v>119</v>
      </c>
      <c r="T3" s="7" t="s">
        <v>471</v>
      </c>
      <c r="U3" s="7" t="s">
        <v>479</v>
      </c>
    </row>
    <row r="4" spans="1:34" ht="101.5" x14ac:dyDescent="0.35">
      <c r="A4" s="12">
        <v>2016</v>
      </c>
      <c r="B4" s="12" t="s">
        <v>152</v>
      </c>
      <c r="C4" s="3" t="s">
        <v>120</v>
      </c>
      <c r="D4" s="2" t="b">
        <v>1</v>
      </c>
      <c r="E4" s="4" t="s">
        <v>122</v>
      </c>
      <c r="F4" s="10" t="s">
        <v>488</v>
      </c>
      <c r="I4" s="4" t="s">
        <v>123</v>
      </c>
      <c r="J4" s="4"/>
      <c r="L4" s="2" t="str" cm="1">
        <f t="array" ref="L4">IF(P4="–", "", "- ["&amp;P4&amp;"]("&amp;GetURL(P4)&amp;")") &amp;
IF(Q4="–", "", "
- ["&amp;Q4&amp;"]("&amp;GetURL(Q4)&amp;")") &amp;
IF(R4="–", "", "
- ["&amp;R4&amp;"]("&amp;GetURL(R4)&amp;")") &amp;
IF(S4="–", "", "
- ["&amp;S4&amp;"]("&amp;GetURL(S4)&amp;")") &amp;
IF(T4="–", "", "
- ["&amp;T4&amp;"]("&amp;GetURL(T4)&amp;")") &amp;
IF(U4="–", "", "
- ["&amp;U4&amp;"]("&amp;GetURL(U4)&amp;")")</f>
        <v>-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v>
      </c>
      <c r="N4" s="4" t="s">
        <v>121</v>
      </c>
      <c r="O4" s="6" t="s">
        <v>119</v>
      </c>
      <c r="P4" s="5" t="s">
        <v>461</v>
      </c>
      <c r="Q4" s="6" t="s">
        <v>119</v>
      </c>
      <c r="R4" s="6" t="s">
        <v>119</v>
      </c>
      <c r="S4" s="6" t="s">
        <v>119</v>
      </c>
      <c r="T4" s="5" t="s">
        <v>472</v>
      </c>
      <c r="U4" s="5" t="s">
        <v>480</v>
      </c>
    </row>
    <row r="5" spans="1:34" ht="87" x14ac:dyDescent="0.35">
      <c r="A5" s="12">
        <v>2016</v>
      </c>
      <c r="B5" s="12" t="s">
        <v>152</v>
      </c>
      <c r="C5" s="3" t="s">
        <v>124</v>
      </c>
      <c r="D5" s="2" t="b">
        <v>1</v>
      </c>
      <c r="E5" s="8" t="s">
        <v>125</v>
      </c>
      <c r="F5" s="10" t="s">
        <v>489</v>
      </c>
      <c r="I5" s="4" t="s">
        <v>126</v>
      </c>
      <c r="J5" s="6"/>
      <c r="L5" s="2" t="str" cm="1">
        <f t="array" ref="L5">IF(P5="–", "", "- ["&amp;P5&amp;"]("&amp;GetURL(P5)&amp;")") &amp;
IF(Q5="–", "", "
- ["&amp;Q5&amp;"]("&amp;GetURL(Q5)&amp;")") &amp;
IF(R5="–", "", "
- ["&amp;R5&amp;"]("&amp;GetURL(R5)&amp;")") &amp;
IF(S5="–", "", "
- ["&amp;S5&amp;"]("&amp;GetURL(S5)&amp;")") &amp;
IF(T5="–", "", "
- ["&amp;T5&amp;"]("&amp;GetURL(T5)&amp;")") &amp;
IF(U5="–", "", "
- ["&amp;U5&amp;"]("&amp;GetURL(U5)&amp;")")</f>
        <v>-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v>
      </c>
      <c r="N5" s="6"/>
      <c r="O5" s="4" t="s">
        <v>127</v>
      </c>
      <c r="P5" s="5" t="s">
        <v>462</v>
      </c>
      <c r="Q5" s="6" t="s">
        <v>119</v>
      </c>
      <c r="R5" s="6" t="s">
        <v>119</v>
      </c>
      <c r="S5" s="6" t="s">
        <v>119</v>
      </c>
      <c r="T5" s="5" t="s">
        <v>473</v>
      </c>
      <c r="U5" s="5" t="s">
        <v>481</v>
      </c>
    </row>
    <row r="6" spans="1:34" ht="169" x14ac:dyDescent="0.35">
      <c r="A6" s="12">
        <v>2016</v>
      </c>
      <c r="B6" s="12" t="s">
        <v>152</v>
      </c>
      <c r="C6" s="3" t="s">
        <v>128</v>
      </c>
      <c r="D6" s="2" t="b">
        <v>1</v>
      </c>
      <c r="E6" s="8" t="s">
        <v>129</v>
      </c>
      <c r="F6" s="10" t="s">
        <v>694</v>
      </c>
      <c r="I6" s="4" t="s">
        <v>130</v>
      </c>
      <c r="J6" s="6"/>
      <c r="L6" s="2" t="str" cm="1">
        <f t="array" ref="L6">IF(P6="–", "", "- ["&amp;P6&amp;"]("&amp;GetURL(P6)&amp;")") &amp;
IF(Q6="–", "", "
- ["&amp;Q6&amp;"]("&amp;GetURL(Q6)&amp;")") &amp;
IF(R6="–", "", "
- ["&amp;R6&amp;"]("&amp;GetURL(R6)&amp;")") &amp;
IF(S6="–", "", "
- ["&amp;S6&amp;"]("&amp;GetURL(S6)&amp;")") &amp;
IF(T6="–", "", "
- ["&amp;T6&amp;"]("&amp;GetURL(T6)&amp;")") &amp;
IF(U6="–", "", "
- ["&amp;U6&amp;"]("&amp;GetURL(U6)&amp;")")</f>
        <v>-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v>
      </c>
      <c r="N6" s="6"/>
      <c r="O6" s="4" t="s">
        <v>131</v>
      </c>
      <c r="P6" s="3" t="s">
        <v>132</v>
      </c>
      <c r="Q6" s="6" t="s">
        <v>119</v>
      </c>
      <c r="R6" s="6" t="s">
        <v>119</v>
      </c>
      <c r="S6" s="6" t="s">
        <v>119</v>
      </c>
      <c r="T6" s="5" t="s">
        <v>474</v>
      </c>
      <c r="U6" s="5" t="s">
        <v>482</v>
      </c>
    </row>
    <row r="7" spans="1:34" ht="117" x14ac:dyDescent="0.35">
      <c r="A7" s="12">
        <v>2016</v>
      </c>
      <c r="B7" s="12" t="s">
        <v>152</v>
      </c>
      <c r="C7" s="3" t="s">
        <v>133</v>
      </c>
      <c r="D7" s="2" t="b">
        <v>1</v>
      </c>
      <c r="E7" s="4" t="s">
        <v>135</v>
      </c>
      <c r="F7" s="10" t="s">
        <v>490</v>
      </c>
      <c r="I7" s="4" t="s">
        <v>136</v>
      </c>
      <c r="J7" s="4"/>
      <c r="L7" s="2" t="str" cm="1">
        <f t="array" ref="L7">IF(P7="–", "", "- ["&amp;P7&amp;"]("&amp;GetURL(P7)&amp;")") &amp;
IF(Q7="–", "", "
- ["&amp;Q7&amp;"]("&amp;GetURL(Q7)&amp;")") &amp;
IF(R7="–", "", "
- ["&amp;R7&amp;"]("&amp;GetURL(R7)&amp;")") &amp;
IF(S7="–", "", "
- ["&amp;S7&amp;"]("&amp;GetURL(S7)&amp;")") &amp;
IF(T7="–", "", "
- ["&amp;T7&amp;"]("&amp;GetURL(T7)&amp;")") &amp;
IF(U7="–", "", "
- ["&amp;U7&amp;"]("&amp;GetURL(U7)&amp;")")</f>
        <v>-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v>
      </c>
      <c r="N7" s="4" t="s">
        <v>134</v>
      </c>
      <c r="O7" s="4" t="s">
        <v>137</v>
      </c>
      <c r="P7" s="5" t="s">
        <v>463</v>
      </c>
      <c r="Q7" s="5" t="s">
        <v>464</v>
      </c>
      <c r="R7" s="6" t="s">
        <v>119</v>
      </c>
      <c r="S7" s="6" t="s">
        <v>119</v>
      </c>
      <c r="T7" s="5" t="s">
        <v>475</v>
      </c>
      <c r="U7" s="5" t="s">
        <v>483</v>
      </c>
    </row>
    <row r="8" spans="1:34" ht="72.5" x14ac:dyDescent="0.35">
      <c r="A8" s="12">
        <v>2016</v>
      </c>
      <c r="B8" s="12" t="s">
        <v>152</v>
      </c>
      <c r="C8" s="3" t="s">
        <v>138</v>
      </c>
      <c r="D8" s="2" t="b">
        <v>1</v>
      </c>
      <c r="E8" s="4" t="s">
        <v>140</v>
      </c>
      <c r="F8" s="10" t="s">
        <v>491</v>
      </c>
      <c r="I8" s="4" t="s">
        <v>141</v>
      </c>
      <c r="J8" s="4"/>
      <c r="L8" s="2" t="str" cm="1">
        <f t="array" ref="L8">IF(P8="–", "", "- ["&amp;P8&amp;"]("&amp;GetURL(P8)&amp;")") &amp;
IF(Q8="–", "", "
- ["&amp;Q8&amp;"]("&amp;GetURL(Q8)&amp;")") &amp;
IF(R8="–", "", "
- ["&amp;R8&amp;"]("&amp;GetURL(R8)&amp;")") &amp;
IF(S8="–", "", "
- ["&amp;S8&amp;"]("&amp;GetURL(S8)&amp;")") &amp;
IF(T8="–", "", "
- ["&amp;T8&amp;"]("&amp;GetURL(T8)&amp;")") &amp;
IF(U8="–", "", "
- ["&amp;U8&amp;"]("&amp;GetURL(U8)&amp;")")</f>
        <v>-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v>
      </c>
      <c r="N8" s="4" t="s">
        <v>139</v>
      </c>
      <c r="O8" s="4" t="s">
        <v>142</v>
      </c>
      <c r="P8" s="5" t="s">
        <v>465</v>
      </c>
      <c r="Q8" s="6" t="s">
        <v>119</v>
      </c>
      <c r="R8" s="6" t="s">
        <v>119</v>
      </c>
      <c r="S8" s="6" t="s">
        <v>119</v>
      </c>
      <c r="T8" s="5" t="s">
        <v>476</v>
      </c>
      <c r="U8" s="6" t="s">
        <v>119</v>
      </c>
    </row>
    <row r="9" spans="1:34" ht="43.5" x14ac:dyDescent="0.35">
      <c r="A9" s="12">
        <v>2016</v>
      </c>
      <c r="B9" s="12" t="s">
        <v>152</v>
      </c>
      <c r="C9" s="3" t="s">
        <v>143</v>
      </c>
      <c r="D9" s="2" t="b">
        <v>1</v>
      </c>
      <c r="E9" s="4" t="s">
        <v>144</v>
      </c>
      <c r="F9" s="10" t="s">
        <v>693</v>
      </c>
      <c r="I9" s="4" t="s">
        <v>145</v>
      </c>
      <c r="J9" s="6"/>
      <c r="L9" s="2" t="str" cm="1">
        <f t="array" ref="L9">IF(P9="–", "", "- ["&amp;P9&amp;"]("&amp;GetURL(P9)&amp;")") &amp;
IF(Q9="–", "", "
- ["&amp;Q9&amp;"]("&amp;GetURL(Q9)&amp;")") &amp;
IF(R9="–", "", "
- ["&amp;R9&amp;"]("&amp;GetURL(R9)&amp;")") &amp;
IF(S9="–", "", "
- ["&amp;S9&amp;"]("&amp;GetURL(S9)&amp;")") &amp;
IF(T9="–", "", "
- ["&amp;T9&amp;"]("&amp;GetURL(T9)&amp;")") &amp;
IF(U9="–", "", "
- ["&amp;U9&amp;"]("&amp;GetURL(U9)&amp;")")</f>
        <v>- [See slides]()
- [Presentation: Endora](http://www.waterboards.ca.gov/resources/data_databases/docs/endora_pres.mp4#)
- [Slides: Endora](http://www.waterboards.ca.gov/resources/data_databases/docs/endora.pdf#)</v>
      </c>
      <c r="N9" s="6"/>
      <c r="O9" s="6" t="s">
        <v>119</v>
      </c>
      <c r="P9" s="3" t="s">
        <v>146</v>
      </c>
      <c r="Q9" s="6" t="s">
        <v>119</v>
      </c>
      <c r="R9" s="6" t="s">
        <v>119</v>
      </c>
      <c r="S9" s="6" t="s">
        <v>119</v>
      </c>
      <c r="T9" s="5" t="s">
        <v>477</v>
      </c>
      <c r="U9" s="5" t="s">
        <v>484</v>
      </c>
    </row>
    <row r="10" spans="1:34" ht="130" x14ac:dyDescent="0.35">
      <c r="A10" s="12">
        <v>2016</v>
      </c>
      <c r="B10" s="12" t="s">
        <v>152</v>
      </c>
      <c r="C10" s="3" t="s">
        <v>147</v>
      </c>
      <c r="D10" s="2" t="b">
        <v>1</v>
      </c>
      <c r="E10" s="4" t="s">
        <v>149</v>
      </c>
      <c r="F10" s="10" t="s">
        <v>492</v>
      </c>
      <c r="I10" s="4" t="s">
        <v>150</v>
      </c>
      <c r="J10" s="4"/>
      <c r="L10" s="2" t="str" cm="1">
        <f t="array" ref="L10">IF(P10="–", "", "- ["&amp;P10&amp;"]("&amp;GetURL(P10)&amp;")") &amp;
IF(Q10="–", "", "
- ["&amp;Q10&amp;"]("&amp;GetURL(Q10)&amp;")") &amp;
IF(R10="–", "", "
- ["&amp;R10&amp;"]("&amp;GetURL(R10)&amp;")") &amp;
IF(S10="–", "", "
- ["&amp;S10&amp;"]("&amp;GetURL(S10)&amp;")") &amp;
IF(T10="–", "", "
- ["&amp;T10&amp;"]("&amp;GetURL(T10)&amp;")") &amp;
IF(U10="–", "", "
- ["&amp;U10&amp;"]("&amp;GetURL(U10)&amp;")")</f>
        <v>-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v>
      </c>
      <c r="N10" s="4" t="s">
        <v>148</v>
      </c>
      <c r="O10" s="4" t="s">
        <v>151</v>
      </c>
      <c r="P10" s="7" t="s">
        <v>466</v>
      </c>
      <c r="Q10" s="6" t="s">
        <v>119</v>
      </c>
      <c r="R10" s="6" t="s">
        <v>119</v>
      </c>
      <c r="S10" s="6" t="s">
        <v>119</v>
      </c>
      <c r="T10" s="6" t="s">
        <v>119</v>
      </c>
      <c r="U10" s="7" t="s">
        <v>485</v>
      </c>
    </row>
    <row r="11" spans="1:34" ht="188.5" x14ac:dyDescent="0.35">
      <c r="A11" s="11">
        <v>2016</v>
      </c>
      <c r="B11" s="11" t="s">
        <v>205</v>
      </c>
      <c r="C11" s="2" t="s">
        <v>206</v>
      </c>
      <c r="D11" s="2" t="b">
        <v>1</v>
      </c>
      <c r="F11" s="10" t="s">
        <v>695</v>
      </c>
      <c r="I11" s="2" t="s">
        <v>209</v>
      </c>
      <c r="L11" s="2" t="str">
        <f>IF(U11="–", "", "- [Slides]("&amp;U11&amp;")") &amp;
IF(P11="–", "", "
- &lt;"&amp;P11&amp;"&gt;") &amp;
IF(Q11="–", "", "
- &lt;"&amp;Q11&amp;"&gt;") &amp;
IF(R11="–", "", "
- &lt;"&amp;R11&amp;"&gt;") &amp;
IF(S11="–", "", "
- &lt;"&amp;S11&amp;"&gt;")</f>
        <v>- [Slides](https://drive.google.com/file/d/0B5n4IeHrVBinS1FyeEJkMHdaZ2c/view?resourcekey=0-YQ2WWx4xoOPwoTJXYIMr9Q)
- &lt;cadwr.databasin.org&gt;</v>
      </c>
      <c r="N11" s="2" t="s">
        <v>207</v>
      </c>
      <c r="O11" s="2" t="s">
        <v>210</v>
      </c>
      <c r="P11" s="2" t="s">
        <v>211</v>
      </c>
      <c r="Q11" s="2" t="s">
        <v>119</v>
      </c>
      <c r="R11" s="2" t="s">
        <v>119</v>
      </c>
      <c r="S11" s="2" t="s">
        <v>119</v>
      </c>
      <c r="U11" s="9" t="s">
        <v>696</v>
      </c>
      <c r="V11" s="2" t="s">
        <v>208</v>
      </c>
    </row>
    <row r="12" spans="1:34" ht="203" x14ac:dyDescent="0.35">
      <c r="A12" s="11">
        <v>2016</v>
      </c>
      <c r="B12" s="11" t="s">
        <v>205</v>
      </c>
      <c r="C12" s="2" t="s">
        <v>212</v>
      </c>
      <c r="D12" s="2" t="b">
        <v>1</v>
      </c>
      <c r="F12" s="10" t="s">
        <v>427</v>
      </c>
      <c r="I12" s="2" t="s">
        <v>214</v>
      </c>
      <c r="L12" s="2" t="str">
        <f t="shared" ref="L12:L45" si="0">IF(U12="–", "", "- [Slides]("&amp;U12&amp;")") &amp;
IF(P12="–", "", "
- &lt;"&amp;P12&amp;"&gt;") &amp;
IF(Q12="–", "", "
- &lt;"&amp;Q12&amp;"&gt;") &amp;
IF(R12="–", "", "
- &lt;"&amp;R12&amp;"&gt;") &amp;
IF(S12="–", "", "
- &lt;"&amp;S12&amp;"&gt;")</f>
        <v>- [Slides](https://drive.google.com/file/d/0B_SI-qUI02kYcXVzQ3BNN0Q4Mm8/view?usp=sharing)
- &lt;http://rainsphere.eng.uci.edu/&gt;
- &lt;https://www.youtube.com/watch?v=eI2-f88iGlY&gt;
- &lt;http://journals.ametsoc.org/doi/pdf/10.1175/BAMS-D-16-0036.1&gt;</v>
      </c>
      <c r="N12" s="2" t="s">
        <v>213</v>
      </c>
      <c r="O12" s="2" t="s">
        <v>215</v>
      </c>
      <c r="P12" s="2" t="s">
        <v>217</v>
      </c>
      <c r="Q12" s="2" t="s">
        <v>218</v>
      </c>
      <c r="R12" s="2" t="s">
        <v>219</v>
      </c>
      <c r="S12" s="2" t="s">
        <v>119</v>
      </c>
      <c r="U12" s="2" t="s">
        <v>216</v>
      </c>
      <c r="V12" s="2" t="s">
        <v>208</v>
      </c>
    </row>
    <row r="13" spans="1:34" ht="87" x14ac:dyDescent="0.35">
      <c r="A13" s="11">
        <v>2016</v>
      </c>
      <c r="B13" s="11" t="s">
        <v>205</v>
      </c>
      <c r="C13" s="2" t="s">
        <v>220</v>
      </c>
      <c r="D13" s="2" t="b">
        <v>1</v>
      </c>
      <c r="F13" s="10" t="s">
        <v>428</v>
      </c>
      <c r="I13" s="2" t="s">
        <v>221</v>
      </c>
      <c r="L13" s="2" t="str">
        <f t="shared" si="0"/>
        <v>- [Slides](https://drive.google.com/file/d/0B_SI-qUI02kYZ0YwZzJnMU1Bdk0/view?usp=sharing)
- &lt;https://itunes.apple.com/sa/app/irain-app/id982858283?mt=8&gt;
- &lt;http://irain.eng.uci.edu/&gt;
- &lt;http://en.unesco.org/news/irain-new-mobile-app-promote-citizen-science-and-support-water-management&gt;</v>
      </c>
      <c r="N13" s="2" t="s">
        <v>213</v>
      </c>
      <c r="O13" s="2" t="s">
        <v>222</v>
      </c>
      <c r="P13" s="2" t="s">
        <v>224</v>
      </c>
      <c r="Q13" s="2" t="s">
        <v>225</v>
      </c>
      <c r="R13" s="2" t="s">
        <v>226</v>
      </c>
      <c r="S13" s="2" t="s">
        <v>119</v>
      </c>
      <c r="U13" s="2" t="s">
        <v>223</v>
      </c>
      <c r="V13" s="2" t="s">
        <v>208</v>
      </c>
    </row>
    <row r="14" spans="1:34" ht="217.5" x14ac:dyDescent="0.35">
      <c r="A14" s="11">
        <v>2016</v>
      </c>
      <c r="B14" s="11" t="s">
        <v>205</v>
      </c>
      <c r="C14" s="2" t="s">
        <v>227</v>
      </c>
      <c r="D14" s="2" t="b">
        <v>1</v>
      </c>
      <c r="F14" s="10" t="s">
        <v>698</v>
      </c>
      <c r="I14" s="2" t="s">
        <v>229</v>
      </c>
      <c r="L14" s="2" t="str">
        <f t="shared" si="0"/>
        <v>- [Slides](https://drive.google.com/file/d/0B5n4IeHrVBinVlhwSkVWZ1l1Ukk/view?resourcekey=0-P4i2jPBw4GYnAwVu6dArCg)
- &lt;www.epiphiny.com&gt;
- &lt;www.realgw.com&gt;</v>
      </c>
      <c r="N14" s="2" t="s">
        <v>228</v>
      </c>
      <c r="O14" s="2" t="s">
        <v>230</v>
      </c>
      <c r="P14" s="2" t="s">
        <v>231</v>
      </c>
      <c r="Q14" s="2" t="s">
        <v>232</v>
      </c>
      <c r="R14" s="2" t="s">
        <v>119</v>
      </c>
      <c r="S14" s="2" t="s">
        <v>119</v>
      </c>
      <c r="U14" s="9" t="s">
        <v>697</v>
      </c>
      <c r="V14" s="2" t="s">
        <v>208</v>
      </c>
    </row>
    <row r="15" spans="1:34" ht="87" x14ac:dyDescent="0.35">
      <c r="A15" s="11">
        <v>2016</v>
      </c>
      <c r="B15" s="11" t="s">
        <v>205</v>
      </c>
      <c r="C15" s="2" t="s">
        <v>233</v>
      </c>
      <c r="D15" s="2" t="b">
        <v>1</v>
      </c>
      <c r="E15" s="2" t="s">
        <v>416</v>
      </c>
      <c r="F15" s="10" t="s">
        <v>429</v>
      </c>
      <c r="I15" s="2" t="s">
        <v>236</v>
      </c>
      <c r="L15" s="2" t="str">
        <f t="shared" si="0"/>
        <v>- [Slides](https://drive.google.com/file/d/0B5n4IeHrVBinMGxtcVp0M1YtbDQ/view?resourcekey=0-fDKdS5WlG96ZJQZpvABRpA)
- &lt;https://bayesimpact.github.io/water/&gt;
- &lt;https://github.com/bayesimpact/water&gt;</v>
      </c>
      <c r="N15" s="2" t="s">
        <v>234</v>
      </c>
      <c r="O15" s="2" t="s">
        <v>237</v>
      </c>
      <c r="P15" s="2" t="s">
        <v>238</v>
      </c>
      <c r="Q15" s="9" t="s">
        <v>239</v>
      </c>
      <c r="R15" s="2" t="s">
        <v>119</v>
      </c>
      <c r="S15" s="2" t="s">
        <v>119</v>
      </c>
      <c r="U15" s="9" t="s">
        <v>426</v>
      </c>
      <c r="V15" s="2" t="s">
        <v>235</v>
      </c>
    </row>
    <row r="16" spans="1:34" ht="217.5" x14ac:dyDescent="0.35">
      <c r="A16" s="11">
        <v>2016</v>
      </c>
      <c r="B16" s="11" t="s">
        <v>205</v>
      </c>
      <c r="C16" s="2" t="s">
        <v>240</v>
      </c>
      <c r="D16" s="2" t="b">
        <v>1</v>
      </c>
      <c r="F16" s="10" t="s">
        <v>699</v>
      </c>
      <c r="I16" s="2" t="s">
        <v>242</v>
      </c>
      <c r="L16" s="2" t="str">
        <f t="shared" si="0"/>
        <v>- [Slides](https://drive.google.com/file/d/0B5n4IeHrVBinRllSY004WFd4X0U/view?resourcekey=0-SblfcotEzjAQPVxJcYg1jQ)
- &lt;http://gswell.abbaroo.com/&gt;</v>
      </c>
      <c r="N16" s="2" t="s">
        <v>241</v>
      </c>
      <c r="O16" s="2" t="s">
        <v>243</v>
      </c>
      <c r="P16" s="2" t="s">
        <v>244</v>
      </c>
      <c r="Q16" s="2" t="s">
        <v>119</v>
      </c>
      <c r="R16" s="2" t="s">
        <v>119</v>
      </c>
      <c r="S16" s="2" t="s">
        <v>119</v>
      </c>
      <c r="U16" s="9" t="s">
        <v>700</v>
      </c>
      <c r="V16" s="2" t="s">
        <v>208</v>
      </c>
    </row>
    <row r="17" spans="1:22" ht="409.5" x14ac:dyDescent="0.35">
      <c r="A17" s="11">
        <v>2016</v>
      </c>
      <c r="B17" s="11" t="s">
        <v>205</v>
      </c>
      <c r="C17" s="2" t="s">
        <v>245</v>
      </c>
      <c r="D17" s="2" t="b">
        <v>1</v>
      </c>
      <c r="F17" s="10" t="s">
        <v>701</v>
      </c>
      <c r="H17" s="2" t="s">
        <v>636</v>
      </c>
      <c r="I17" s="2" t="s">
        <v>247</v>
      </c>
      <c r="L17" s="2" t="str">
        <f t="shared" si="0"/>
        <v>- [Slides](NA)
- &lt;http://public.tableau.com/views/GITTES-viz/Dashboard2?:showVizHome=no#1&gt;
- &lt;https://drive.google.com/open?id=0B5n4IeHrVBinN19LbklYa0NRaUU&gt;</v>
      </c>
      <c r="N17" s="2" t="s">
        <v>246</v>
      </c>
      <c r="O17" s="2" t="s">
        <v>248</v>
      </c>
      <c r="P17" s="2" t="s">
        <v>250</v>
      </c>
      <c r="Q17" s="2" t="s">
        <v>251</v>
      </c>
      <c r="R17" s="2" t="s">
        <v>119</v>
      </c>
      <c r="S17" s="2" t="s">
        <v>119</v>
      </c>
      <c r="U17" s="2" t="s">
        <v>249</v>
      </c>
      <c r="V17" s="2" t="s">
        <v>208</v>
      </c>
    </row>
    <row r="18" spans="1:22" ht="362.5" x14ac:dyDescent="0.35">
      <c r="A18" s="11">
        <v>2016</v>
      </c>
      <c r="B18" s="11" t="s">
        <v>205</v>
      </c>
      <c r="C18" s="2" t="s">
        <v>252</v>
      </c>
      <c r="D18" s="2" t="b">
        <v>1</v>
      </c>
      <c r="F18" s="2" t="s">
        <v>430</v>
      </c>
      <c r="I18" s="2" t="s">
        <v>254</v>
      </c>
      <c r="L18" s="2" t="str">
        <f t="shared" si="0"/>
        <v>- [Slides](https://drive.google.com/open?id=0B5n4IeHrVBinT0o4ZVNrWHk5Vkk)
- &lt;http://arcg.is/2h3CjYE&gt;
- &lt;https://drive.google.com/open?id=0B5n4IeHrVBinR2VSOGJLeVpPZ0U&gt;
- &lt;https://github.com/gpaulFormation/CalETa&gt;
- &lt;https://drive.google.com/open?id=0B5n4IeHrVBindGpGanJULUVPYjA&gt;</v>
      </c>
      <c r="N18" s="2" t="s">
        <v>253</v>
      </c>
      <c r="O18" s="2" t="s">
        <v>255</v>
      </c>
      <c r="P18" s="2" t="s">
        <v>257</v>
      </c>
      <c r="Q18" s="2" t="s">
        <v>258</v>
      </c>
      <c r="R18" s="2" t="s">
        <v>259</v>
      </c>
      <c r="S18" s="2" t="s">
        <v>260</v>
      </c>
      <c r="U18" s="2" t="s">
        <v>256</v>
      </c>
      <c r="V18" s="2" t="s">
        <v>208</v>
      </c>
    </row>
    <row r="19" spans="1:22" ht="217.5" x14ac:dyDescent="0.35">
      <c r="A19" s="11">
        <v>2016</v>
      </c>
      <c r="B19" s="11" t="s">
        <v>205</v>
      </c>
      <c r="C19" s="2" t="s">
        <v>261</v>
      </c>
      <c r="D19" s="2" t="b">
        <v>1</v>
      </c>
      <c r="E19" s="2" t="s">
        <v>417</v>
      </c>
      <c r="F19" s="2" t="s">
        <v>431</v>
      </c>
      <c r="I19" s="2" t="s">
        <v>263</v>
      </c>
      <c r="L19" s="2" t="str">
        <f t="shared" si="0"/>
        <v>- [Slides](https://drive.google.com/open?id=0B5n4IeHrVBinT3NlRndpam85Y2c)
- &lt;http://waterinthewest.stanford.edu/publications/coping-california-drought-2014-2016&gt;
- &lt;https://github.com/patriciagm4/ca-data-challenge &gt;</v>
      </c>
      <c r="N19" s="2" t="s">
        <v>262</v>
      </c>
      <c r="O19" s="2" t="s">
        <v>264</v>
      </c>
      <c r="P19" s="2" t="s">
        <v>266</v>
      </c>
      <c r="Q19" s="9" t="s">
        <v>267</v>
      </c>
      <c r="R19" s="2" t="s">
        <v>119</v>
      </c>
      <c r="S19" s="2" t="s">
        <v>119</v>
      </c>
      <c r="U19" s="9" t="s">
        <v>265</v>
      </c>
      <c r="V19" s="2" t="s">
        <v>235</v>
      </c>
    </row>
    <row r="20" spans="1:22" ht="232" x14ac:dyDescent="0.35">
      <c r="A20" s="11">
        <v>2016</v>
      </c>
      <c r="B20" s="11" t="s">
        <v>205</v>
      </c>
      <c r="C20" s="2" t="s">
        <v>268</v>
      </c>
      <c r="D20" s="2" t="b">
        <v>1</v>
      </c>
      <c r="F20" s="2" t="s">
        <v>432</v>
      </c>
      <c r="I20" s="2" t="s">
        <v>270</v>
      </c>
      <c r="L20" s="2" t="str">
        <f t="shared" si="0"/>
        <v>- [Slides](https://drive.google.com/open?id=0B5n4IeHrVBincHlkbVVFUTJudTA)
- &lt;https://drive.google.com/open?id=0B5n4IeHrVBinLWVlMFNpV05IV0U&gt;
- &lt;https://drive.google.com/open?id=0B5n4IeHrVBinMjRiS1FLZUtLMmc&gt;</v>
      </c>
      <c r="N20" s="2" t="s">
        <v>269</v>
      </c>
      <c r="O20" s="2" t="s">
        <v>271</v>
      </c>
      <c r="P20" s="2" t="s">
        <v>273</v>
      </c>
      <c r="Q20" s="2" t="s">
        <v>274</v>
      </c>
      <c r="R20" s="2" t="s">
        <v>119</v>
      </c>
      <c r="S20" s="2" t="s">
        <v>119</v>
      </c>
      <c r="U20" s="2" t="s">
        <v>272</v>
      </c>
      <c r="V20" s="2" t="s">
        <v>208</v>
      </c>
    </row>
    <row r="21" spans="1:22" ht="145" x14ac:dyDescent="0.35">
      <c r="A21" s="11">
        <v>2016</v>
      </c>
      <c r="B21" s="11" t="s">
        <v>205</v>
      </c>
      <c r="C21" s="2" t="s">
        <v>275</v>
      </c>
      <c r="D21" s="2" t="b">
        <v>1</v>
      </c>
      <c r="F21" s="2" t="s">
        <v>433</v>
      </c>
      <c r="H21" s="2" t="s">
        <v>683</v>
      </c>
      <c r="I21" s="2" t="s">
        <v>276</v>
      </c>
      <c r="L21" s="2" t="str">
        <f t="shared" si="0"/>
        <v>- [Slides](https://drive.google.com/file/d/0B5n4IeHrVBinY1JIOFlxUkNXajQ/view?resourcekey=0-qQlutJZZ07waa9rqy1hPHQ)
- &lt;https://flowwest.shinyapps.io/flowwest_floodplain_habitat_finder/&gt;</v>
      </c>
      <c r="N21" s="2" t="s">
        <v>139</v>
      </c>
      <c r="O21" s="2" t="s">
        <v>277</v>
      </c>
      <c r="P21" s="9" t="s">
        <v>278</v>
      </c>
      <c r="Q21" s="2" t="s">
        <v>119</v>
      </c>
      <c r="R21" s="2" t="s">
        <v>119</v>
      </c>
      <c r="S21" s="2" t="s">
        <v>119</v>
      </c>
      <c r="U21" s="9" t="s">
        <v>425</v>
      </c>
      <c r="V21" s="2" t="s">
        <v>235</v>
      </c>
    </row>
    <row r="22" spans="1:22" ht="391.5" x14ac:dyDescent="0.35">
      <c r="A22" s="11">
        <v>2016</v>
      </c>
      <c r="B22" s="11" t="s">
        <v>205</v>
      </c>
      <c r="C22" s="2" t="s">
        <v>279</v>
      </c>
      <c r="D22" s="2" t="b">
        <v>1</v>
      </c>
      <c r="F22" s="2" t="s">
        <v>434</v>
      </c>
      <c r="I22" s="2" t="s">
        <v>281</v>
      </c>
      <c r="L22" s="2" t="str">
        <f t="shared" si="0"/>
        <v>- [Slides](https://drive.google.com/open?id=0B5n4IeHrVBindXR5bGt4cXkwbkE)
- &lt;https://drive.google.com/open?id=0B5n4IeHrVBinYWR6SC16cEFHQkk&gt;</v>
      </c>
      <c r="N22" s="2" t="s">
        <v>280</v>
      </c>
      <c r="O22" s="2" t="s">
        <v>282</v>
      </c>
      <c r="P22" s="2" t="s">
        <v>284</v>
      </c>
      <c r="Q22" s="2" t="s">
        <v>119</v>
      </c>
      <c r="R22" s="2" t="s">
        <v>119</v>
      </c>
      <c r="S22" s="2" t="s">
        <v>119</v>
      </c>
      <c r="U22" s="2" t="s">
        <v>283</v>
      </c>
      <c r="V22" s="2" t="s">
        <v>208</v>
      </c>
    </row>
    <row r="23" spans="1:22" ht="261" x14ac:dyDescent="0.35">
      <c r="A23" s="11">
        <v>2016</v>
      </c>
      <c r="B23" s="11" t="s">
        <v>205</v>
      </c>
      <c r="C23" s="2" t="s">
        <v>285</v>
      </c>
      <c r="D23" s="2" t="b">
        <v>1</v>
      </c>
      <c r="F23" s="2" t="s">
        <v>435</v>
      </c>
      <c r="H23" s="2" t="s">
        <v>636</v>
      </c>
      <c r="I23" s="2" t="s">
        <v>287</v>
      </c>
      <c r="L23" s="2" t="str">
        <f t="shared" si="0"/>
        <v>- [Slides](https://drive.google.com/file/d/0B5n4IeHrVBinWnN2eWVHM1g4aFE/view?resourcekey=0-HcUn236odEPuW98wyUUuyQ)
- &lt;http://data.pointblue.org/apps/autowater/&gt;
- &lt;https://github.com/dm00dy/autowater&gt;</v>
      </c>
      <c r="N23" s="2" t="s">
        <v>286</v>
      </c>
      <c r="O23" s="2" t="s">
        <v>288</v>
      </c>
      <c r="P23" s="2" t="s">
        <v>289</v>
      </c>
      <c r="Q23" s="2" t="s">
        <v>290</v>
      </c>
      <c r="R23" s="2" t="s">
        <v>119</v>
      </c>
      <c r="S23" s="2" t="s">
        <v>119</v>
      </c>
      <c r="U23" s="9" t="s">
        <v>424</v>
      </c>
      <c r="V23" s="2" t="s">
        <v>235</v>
      </c>
    </row>
    <row r="24" spans="1:22" ht="409.5" x14ac:dyDescent="0.35">
      <c r="A24" s="11">
        <v>2016</v>
      </c>
      <c r="B24" s="11" t="s">
        <v>205</v>
      </c>
      <c r="C24" s="2" t="s">
        <v>291</v>
      </c>
      <c r="D24" s="2" t="b">
        <v>1</v>
      </c>
      <c r="F24" s="2" t="s">
        <v>436</v>
      </c>
      <c r="I24" s="2" t="s">
        <v>293</v>
      </c>
      <c r="L24" s="2" t="str">
        <f t="shared" si="0"/>
        <v>- [Slides](https://drive.google.com/open?id=0B5n4IeHrVBinLTVnRkp1TmZ6TjA)
- &lt;www.WaterRiskMonetizer.com&gt;</v>
      </c>
      <c r="N24" s="2" t="s">
        <v>292</v>
      </c>
      <c r="O24" s="2" t="s">
        <v>294</v>
      </c>
      <c r="P24" s="2" t="s">
        <v>296</v>
      </c>
      <c r="Q24" s="2" t="s">
        <v>119</v>
      </c>
      <c r="R24" s="2" t="s">
        <v>119</v>
      </c>
      <c r="S24" s="2" t="s">
        <v>119</v>
      </c>
      <c r="U24" s="2" t="s">
        <v>295</v>
      </c>
      <c r="V24" s="2" t="s">
        <v>208</v>
      </c>
    </row>
    <row r="25" spans="1:22" ht="232" x14ac:dyDescent="0.35">
      <c r="A25" s="11">
        <v>2016</v>
      </c>
      <c r="B25" s="11" t="s">
        <v>205</v>
      </c>
      <c r="C25" s="2" t="s">
        <v>297</v>
      </c>
      <c r="D25" s="2" t="b">
        <v>1</v>
      </c>
      <c r="F25" s="2" t="s">
        <v>437</v>
      </c>
      <c r="I25" s="2" t="s">
        <v>299</v>
      </c>
      <c r="L25" s="2" t="str">
        <f t="shared" si="0"/>
        <v>- [Slides](https://drive.google.com/open?id=0B5n4IeHrVBinVEF4OWtrRFZaRHc)
- &lt;http://climate.calcommons.org/tbc3/sf-bay-watershed-analyst&gt;
- &lt;https://vimeo.com/190052456&gt;</v>
      </c>
      <c r="N25" s="2" t="s">
        <v>298</v>
      </c>
      <c r="O25" s="2" t="s">
        <v>300</v>
      </c>
      <c r="P25" s="2" t="s">
        <v>302</v>
      </c>
      <c r="Q25" s="2" t="s">
        <v>303</v>
      </c>
      <c r="R25" s="2" t="s">
        <v>119</v>
      </c>
      <c r="S25" s="2" t="s">
        <v>119</v>
      </c>
      <c r="U25" s="2" t="s">
        <v>301</v>
      </c>
      <c r="V25" s="2" t="s">
        <v>208</v>
      </c>
    </row>
    <row r="26" spans="1:22" ht="159.5" x14ac:dyDescent="0.35">
      <c r="A26" s="11">
        <v>2016</v>
      </c>
      <c r="B26" s="11" t="s">
        <v>205</v>
      </c>
      <c r="C26" s="2" t="s">
        <v>304</v>
      </c>
      <c r="D26" s="2" t="b">
        <v>1</v>
      </c>
      <c r="F26" s="2" t="s">
        <v>438</v>
      </c>
      <c r="I26" s="2" t="s">
        <v>306</v>
      </c>
      <c r="L26" s="2" t="str">
        <f t="shared" si="0"/>
        <v>- [Slides](https://drive.google.com/open?id=0B5n4IeHrVBinSzZWV1VQUl93NXM)
- &lt;map.waterauditca.org&gt;</v>
      </c>
      <c r="N26" s="2" t="s">
        <v>305</v>
      </c>
      <c r="O26" s="2" t="s">
        <v>307</v>
      </c>
      <c r="P26" s="2" t="s">
        <v>304</v>
      </c>
      <c r="Q26" s="2" t="s">
        <v>119</v>
      </c>
      <c r="R26" s="2" t="s">
        <v>119</v>
      </c>
      <c r="S26" s="2" t="s">
        <v>119</v>
      </c>
      <c r="U26" s="2" t="s">
        <v>308</v>
      </c>
      <c r="V26" s="2" t="s">
        <v>208</v>
      </c>
    </row>
    <row r="27" spans="1:22" ht="116" x14ac:dyDescent="0.35">
      <c r="A27" s="11">
        <v>2016</v>
      </c>
      <c r="B27" s="11" t="s">
        <v>205</v>
      </c>
      <c r="C27" s="2" t="s">
        <v>309</v>
      </c>
      <c r="D27" s="2" t="b">
        <v>1</v>
      </c>
      <c r="F27" s="2" t="s">
        <v>439</v>
      </c>
      <c r="I27" s="2" t="s">
        <v>311</v>
      </c>
      <c r="L27" s="2" t="str">
        <f t="shared" si="0"/>
        <v>- [Slides](https://drive.google.com/open?id=0B5n4IeHrVBinck9rcy1qM3hESHc)
- &lt;https://github.com/California-Data-Collaborative/efficiency-explorer&gt;</v>
      </c>
      <c r="N27" s="2" t="s">
        <v>310</v>
      </c>
      <c r="O27" s="2" t="s">
        <v>312</v>
      </c>
      <c r="P27" s="2" t="s">
        <v>314</v>
      </c>
      <c r="Q27" s="2" t="s">
        <v>119</v>
      </c>
      <c r="R27" s="2" t="s">
        <v>119</v>
      </c>
      <c r="S27" s="2" t="s">
        <v>119</v>
      </c>
      <c r="U27" s="2" t="s">
        <v>313</v>
      </c>
      <c r="V27" s="2" t="s">
        <v>235</v>
      </c>
    </row>
    <row r="28" spans="1:22" ht="101.5" x14ac:dyDescent="0.35">
      <c r="A28" s="11">
        <v>2016</v>
      </c>
      <c r="B28" s="11" t="s">
        <v>205</v>
      </c>
      <c r="C28" s="2" t="s">
        <v>315</v>
      </c>
      <c r="D28" s="2" t="b">
        <v>1</v>
      </c>
      <c r="F28" s="2" t="s">
        <v>440</v>
      </c>
      <c r="I28" s="2" t="s">
        <v>317</v>
      </c>
      <c r="L28" s="2" t="str">
        <f t="shared" si="0"/>
        <v>- [Slides](https://drive.google.com/open?id=0B5n4IeHrVBinakZPdlM2WlVaelk)
- &lt;https://drive.google.com/open?id=0B5n4IeHrVBinUDI2T1ZteEVtSUE&gt;</v>
      </c>
      <c r="N28" s="2" t="s">
        <v>316</v>
      </c>
      <c r="O28" s="2" t="s">
        <v>318</v>
      </c>
      <c r="P28" s="2" t="s">
        <v>320</v>
      </c>
      <c r="Q28" s="2" t="s">
        <v>119</v>
      </c>
      <c r="R28" s="2" t="s">
        <v>119</v>
      </c>
      <c r="S28" s="2" t="s">
        <v>119</v>
      </c>
      <c r="U28" s="2" t="s">
        <v>319</v>
      </c>
      <c r="V28" s="2" t="s">
        <v>208</v>
      </c>
    </row>
    <row r="29" spans="1:22" ht="275.5" x14ac:dyDescent="0.35">
      <c r="A29" s="11">
        <v>2016</v>
      </c>
      <c r="B29" s="11" t="s">
        <v>205</v>
      </c>
      <c r="C29" s="2" t="s">
        <v>321</v>
      </c>
      <c r="D29" s="2" t="b">
        <v>1</v>
      </c>
      <c r="F29" s="10" t="s">
        <v>453</v>
      </c>
      <c r="I29" s="2" t="s">
        <v>323</v>
      </c>
      <c r="L29" s="2" t="str">
        <f t="shared" si="0"/>
        <v>- [Slides](https://drive.google.com/open?id=0B5n4IeHrVBinWXFVdjctTW5DNTQ)
- &lt;srwp.opennrm.org
 username: guest@srwp.org
 password: srwp&gt;</v>
      </c>
      <c r="N29" s="2" t="s">
        <v>322</v>
      </c>
      <c r="O29" s="2" t="s">
        <v>324</v>
      </c>
      <c r="P29" s="2" t="s">
        <v>326</v>
      </c>
      <c r="Q29" s="2" t="s">
        <v>119</v>
      </c>
      <c r="R29" s="2" t="s">
        <v>119</v>
      </c>
      <c r="S29" s="2" t="s">
        <v>119</v>
      </c>
      <c r="U29" s="2" t="s">
        <v>325</v>
      </c>
      <c r="V29" s="2" t="s">
        <v>208</v>
      </c>
    </row>
    <row r="30" spans="1:22" ht="43.5" x14ac:dyDescent="0.35">
      <c r="A30" s="11">
        <v>2016</v>
      </c>
      <c r="B30" s="11" t="s">
        <v>205</v>
      </c>
      <c r="C30" s="2" t="s">
        <v>327</v>
      </c>
      <c r="D30" s="2" t="b">
        <v>1</v>
      </c>
      <c r="F30" s="2" t="s">
        <v>441</v>
      </c>
      <c r="I30" s="2" t="s">
        <v>328</v>
      </c>
      <c r="L30" s="2" t="str">
        <f t="shared" si="0"/>
        <v>- [Slides](https://drive.google.com/open?id=0B5n4IeHrVBinOWl2aGs1aWNBc1U)
- &lt;http://arcg.is/2g1XCK7&gt;</v>
      </c>
      <c r="N30" s="2" t="s">
        <v>119</v>
      </c>
      <c r="O30" s="2" t="s">
        <v>329</v>
      </c>
      <c r="P30" s="2" t="s">
        <v>331</v>
      </c>
      <c r="Q30" s="2" t="s">
        <v>119</v>
      </c>
      <c r="R30" s="2" t="s">
        <v>119</v>
      </c>
      <c r="S30" s="2" t="s">
        <v>119</v>
      </c>
      <c r="U30" s="2" t="s">
        <v>330</v>
      </c>
      <c r="V30" s="2" t="s">
        <v>208</v>
      </c>
    </row>
    <row r="31" spans="1:22" ht="188.5" x14ac:dyDescent="0.35">
      <c r="A31" s="11">
        <v>2016</v>
      </c>
      <c r="B31" s="11" t="s">
        <v>205</v>
      </c>
      <c r="C31" s="2" t="s">
        <v>332</v>
      </c>
      <c r="D31" s="2" t="b">
        <v>1</v>
      </c>
      <c r="E31" s="2" t="s">
        <v>423</v>
      </c>
      <c r="F31" s="10" t="s">
        <v>442</v>
      </c>
      <c r="H31" s="2" t="s">
        <v>636</v>
      </c>
      <c r="I31" s="2" t="s">
        <v>333</v>
      </c>
      <c r="L31" s="2" t="str">
        <f t="shared" si="0"/>
        <v>- [Slides](https://drive.google.com/file/d/0B5n4IeHrVBinWXBxa2lCSkZ1dlk/view?resourcekey=0-oKk-NdHuG7_7FsvExBIIgg)
- &lt;http://kyliepace.github.io/waterChallenge&gt;
- &lt;http://github.com/kyliepace/waterChallenge&gt;</v>
      </c>
      <c r="N31" s="2" t="s">
        <v>119</v>
      </c>
      <c r="O31" s="2" t="s">
        <v>334</v>
      </c>
      <c r="P31" s="9" t="s">
        <v>335</v>
      </c>
      <c r="Q31" s="2" t="s">
        <v>336</v>
      </c>
      <c r="R31" s="2" t="s">
        <v>119</v>
      </c>
      <c r="S31" s="2" t="s">
        <v>119</v>
      </c>
      <c r="U31" s="9" t="s">
        <v>422</v>
      </c>
      <c r="V31" s="2" t="s">
        <v>235</v>
      </c>
    </row>
    <row r="32" spans="1:22" ht="348" x14ac:dyDescent="0.35">
      <c r="A32" s="11">
        <v>2016</v>
      </c>
      <c r="B32" s="11" t="s">
        <v>205</v>
      </c>
      <c r="C32" s="2" t="s">
        <v>337</v>
      </c>
      <c r="D32" s="2" t="b">
        <v>1</v>
      </c>
      <c r="F32" s="2" t="s">
        <v>443</v>
      </c>
      <c r="I32" s="2" t="s">
        <v>339</v>
      </c>
      <c r="L32" s="2" t="str">
        <f t="shared" si="0"/>
        <v>- [Slides](https://drive.google.com/open?id=0B5n4IeHrVBinZmJjRHFZdTFrcmc)
- &lt;http://westvalleycollegegeospatial.weebly.com&gt;</v>
      </c>
      <c r="N32" s="2" t="s">
        <v>338</v>
      </c>
      <c r="O32" s="2" t="s">
        <v>340</v>
      </c>
      <c r="P32" s="2" t="s">
        <v>342</v>
      </c>
      <c r="Q32" s="2" t="s">
        <v>119</v>
      </c>
      <c r="R32" s="2" t="s">
        <v>119</v>
      </c>
      <c r="S32" s="2" t="s">
        <v>119</v>
      </c>
      <c r="U32" s="2" t="s">
        <v>341</v>
      </c>
      <c r="V32" s="2" t="s">
        <v>208</v>
      </c>
    </row>
    <row r="33" spans="1:24" ht="87" x14ac:dyDescent="0.35">
      <c r="A33" s="11">
        <v>2016</v>
      </c>
      <c r="B33" s="11" t="s">
        <v>205</v>
      </c>
      <c r="C33" s="2" t="s">
        <v>343</v>
      </c>
      <c r="D33" s="2" t="b">
        <v>1</v>
      </c>
      <c r="F33" s="2" t="s">
        <v>444</v>
      </c>
      <c r="I33" s="2" t="s">
        <v>345</v>
      </c>
      <c r="L33" s="2" t="str">
        <f t="shared" si="0"/>
        <v>- [Slides](https://drive.google.com/open?id=0B5n4IeHrVBinTU1vcnZZODNKSVk)
- &lt;http://project-athena.com/ca-water-data-challenge&gt;</v>
      </c>
      <c r="N33" s="2" t="s">
        <v>344</v>
      </c>
      <c r="O33" s="2" t="s">
        <v>346</v>
      </c>
      <c r="P33" s="2" t="s">
        <v>348</v>
      </c>
      <c r="Q33" s="2" t="s">
        <v>119</v>
      </c>
      <c r="R33" s="2" t="s">
        <v>119</v>
      </c>
      <c r="S33" s="2" t="s">
        <v>119</v>
      </c>
      <c r="U33" s="2" t="s">
        <v>347</v>
      </c>
      <c r="V33" s="2" t="s">
        <v>208</v>
      </c>
    </row>
    <row r="34" spans="1:24" ht="261" x14ac:dyDescent="0.35">
      <c r="A34" s="11">
        <v>2016</v>
      </c>
      <c r="B34" s="11" t="s">
        <v>205</v>
      </c>
      <c r="C34" s="2" t="s">
        <v>349</v>
      </c>
      <c r="D34" s="2" t="b">
        <v>1</v>
      </c>
      <c r="F34" s="2" t="s">
        <v>445</v>
      </c>
      <c r="I34" s="2" t="s">
        <v>351</v>
      </c>
      <c r="L34" s="2" t="str">
        <f t="shared" si="0"/>
        <v>- [Slides](https://drive.google.com/open?id=0B5n4IeHrVBinLXlRN3VjNGwwTVk)
- &lt;https://drive.google.com/open?id=0B5n4IeHrVBinUGN0bm1HLUhSa1E&gt;
- &lt;https://drive.google.com/open?id=0B5n4IeHrVBinbVhGOUh6VTNRM28&gt;</v>
      </c>
      <c r="N34" s="2" t="s">
        <v>350</v>
      </c>
      <c r="O34" s="2" t="s">
        <v>119</v>
      </c>
      <c r="P34" s="2" t="s">
        <v>353</v>
      </c>
      <c r="Q34" s="2" t="s">
        <v>354</v>
      </c>
      <c r="R34" s="2" t="s">
        <v>119</v>
      </c>
      <c r="S34" s="2" t="s">
        <v>119</v>
      </c>
      <c r="U34" s="2" t="s">
        <v>352</v>
      </c>
      <c r="V34" s="2" t="s">
        <v>208</v>
      </c>
    </row>
    <row r="35" spans="1:24" ht="159.5" x14ac:dyDescent="0.35">
      <c r="A35" s="11">
        <v>2016</v>
      </c>
      <c r="B35" s="11" t="s">
        <v>205</v>
      </c>
      <c r="C35" s="2" t="s">
        <v>355</v>
      </c>
      <c r="D35" s="2" t="b">
        <v>1</v>
      </c>
      <c r="F35" s="2" t="s">
        <v>446</v>
      </c>
      <c r="I35" s="2" t="s">
        <v>357</v>
      </c>
      <c r="L35" s="2" t="str">
        <f t="shared" si="0"/>
        <v>- [Slides](https://drive.google.com/open?id=0B5n4IeHrVBinbEl5NHFIVUhIM0E)</v>
      </c>
      <c r="N35" s="2" t="s">
        <v>356</v>
      </c>
      <c r="P35" s="2" t="s">
        <v>119</v>
      </c>
      <c r="Q35" s="2" t="s">
        <v>119</v>
      </c>
      <c r="R35" s="2" t="s">
        <v>119</v>
      </c>
      <c r="S35" s="2" t="s">
        <v>119</v>
      </c>
      <c r="U35" s="2" t="s">
        <v>358</v>
      </c>
      <c r="V35" s="2" t="s">
        <v>208</v>
      </c>
    </row>
    <row r="36" spans="1:24" ht="58" x14ac:dyDescent="0.35">
      <c r="A36" s="11">
        <v>2016</v>
      </c>
      <c r="B36" s="11" t="s">
        <v>205</v>
      </c>
      <c r="C36" s="2" t="s">
        <v>359</v>
      </c>
      <c r="D36" s="2" t="b">
        <v>1</v>
      </c>
      <c r="E36" s="2" t="s">
        <v>421</v>
      </c>
      <c r="F36" s="10" t="s">
        <v>447</v>
      </c>
      <c r="I36" s="2" t="s">
        <v>361</v>
      </c>
      <c r="L36" s="2" t="str">
        <f t="shared" si="0"/>
        <v>- [Slides](https://drive.google.com/file/d/0B5n4IeHrVBinODNsWnpxLUQwRms/view?resourcekey=0-JrFW-I6y4YRQgYT00-Kw8g)
- &lt;https://github.com/California-Data-Collaborative/RateComparison&gt;</v>
      </c>
      <c r="N36" s="2" t="s">
        <v>360</v>
      </c>
      <c r="O36" s="2" t="s">
        <v>362</v>
      </c>
      <c r="P36" s="2" t="s">
        <v>363</v>
      </c>
      <c r="Q36" s="2" t="s">
        <v>119</v>
      </c>
      <c r="R36" s="2" t="s">
        <v>119</v>
      </c>
      <c r="S36" s="2" t="s">
        <v>119</v>
      </c>
      <c r="U36" s="9" t="s">
        <v>420</v>
      </c>
      <c r="V36" s="2" t="s">
        <v>235</v>
      </c>
    </row>
    <row r="37" spans="1:24" ht="217.5" x14ac:dyDescent="0.35">
      <c r="A37" s="11">
        <v>2016</v>
      </c>
      <c r="B37" s="11" t="s">
        <v>205</v>
      </c>
      <c r="C37" s="2" t="s">
        <v>364</v>
      </c>
      <c r="D37" s="2" t="b">
        <v>1</v>
      </c>
      <c r="F37" s="2" t="s">
        <v>448</v>
      </c>
      <c r="I37" s="2" t="s">
        <v>366</v>
      </c>
      <c r="L37" s="2" t="str">
        <f t="shared" si="0"/>
        <v>- [Slides](https://drive.google.com/open?id=0B5n4IeHrVBindmhfNjZCTWpJMTA)
- &lt;https://public.tableau.com/profile/kklausmeyer#!/vizhome/CaliforniaDroughtDashboard/Dashboard&gt;
- &lt;https://github.com/kklausmeyer/Drought_Dashboard&gt;</v>
      </c>
      <c r="N37" s="2" t="s">
        <v>365</v>
      </c>
      <c r="O37" s="2" t="s">
        <v>367</v>
      </c>
      <c r="P37" s="2" t="s">
        <v>369</v>
      </c>
      <c r="Q37" s="2" t="s">
        <v>370</v>
      </c>
      <c r="R37" s="2" t="s">
        <v>119</v>
      </c>
      <c r="S37" s="2" t="s">
        <v>119</v>
      </c>
      <c r="U37" s="2" t="s">
        <v>368</v>
      </c>
      <c r="V37" s="2" t="s">
        <v>208</v>
      </c>
    </row>
    <row r="38" spans="1:24" ht="87" x14ac:dyDescent="0.35">
      <c r="A38" s="11">
        <v>2016</v>
      </c>
      <c r="B38" s="11" t="s">
        <v>205</v>
      </c>
      <c r="C38" s="2" t="s">
        <v>371</v>
      </c>
      <c r="D38" s="2" t="b">
        <v>1</v>
      </c>
      <c r="F38" s="2" t="s">
        <v>449</v>
      </c>
      <c r="I38" s="2" t="s">
        <v>373</v>
      </c>
      <c r="L38" s="2" t="str">
        <f t="shared" si="0"/>
        <v>- [Slides](https://docs.google.com/presentation/d/1rr8I70WkmyJS5148a6yldgmUuNrKXBt9X6dqTAUONPQ/edit?usp=sharing)
- &lt;https://drive.google.com/open?id=0B5n4IeHrVBinOERsb3ZZWnNCVEk&gt;</v>
      </c>
      <c r="N38" s="2" t="s">
        <v>372</v>
      </c>
      <c r="O38" s="2" t="s">
        <v>374</v>
      </c>
      <c r="P38" s="2" t="s">
        <v>376</v>
      </c>
      <c r="Q38" s="2" t="s">
        <v>119</v>
      </c>
      <c r="R38" s="2" t="s">
        <v>119</v>
      </c>
      <c r="S38" s="2" t="s">
        <v>119</v>
      </c>
      <c r="U38" s="2" t="s">
        <v>375</v>
      </c>
      <c r="V38" s="2" t="s">
        <v>208</v>
      </c>
    </row>
    <row r="39" spans="1:24" ht="217.5" x14ac:dyDescent="0.35">
      <c r="A39" s="11">
        <v>2016</v>
      </c>
      <c r="B39" s="11" t="s">
        <v>205</v>
      </c>
      <c r="C39" s="2" t="s">
        <v>377</v>
      </c>
      <c r="D39" s="2" t="b">
        <v>1</v>
      </c>
      <c r="F39" s="10" t="s">
        <v>454</v>
      </c>
      <c r="I39" s="2" t="s">
        <v>379</v>
      </c>
      <c r="L39" s="2" t="str">
        <f t="shared" si="0"/>
        <v>- [Slides](https://drive.google.com/open?id=0B5n4IeHrVBinSFVJV3Yyak5FRjQ)
- &lt;Please visit the TELR website (www.swtelr.com) for a demonstration. Username: 2N_demo. Password: demopassword&gt;
- &lt;Technical documentation: Stormwater TELR Technical Document&gt;</v>
      </c>
      <c r="N39" s="2" t="s">
        <v>378</v>
      </c>
      <c r="O39" s="2" t="s">
        <v>380</v>
      </c>
      <c r="P39" s="2" t="s">
        <v>382</v>
      </c>
      <c r="Q39" s="2" t="s">
        <v>383</v>
      </c>
      <c r="R39" s="2" t="s">
        <v>119</v>
      </c>
      <c r="S39" s="2" t="s">
        <v>119</v>
      </c>
      <c r="U39" s="2" t="s">
        <v>381</v>
      </c>
      <c r="V39" s="2" t="s">
        <v>208</v>
      </c>
    </row>
    <row r="40" spans="1:24" ht="130.5" x14ac:dyDescent="0.35">
      <c r="A40" s="11">
        <v>2016</v>
      </c>
      <c r="B40" s="11" t="s">
        <v>205</v>
      </c>
      <c r="C40" s="2" t="s">
        <v>384</v>
      </c>
      <c r="D40" s="2" t="b">
        <v>1</v>
      </c>
      <c r="F40" s="10" t="s">
        <v>455</v>
      </c>
      <c r="I40" s="2" t="s">
        <v>386</v>
      </c>
      <c r="L40" s="2" t="str">
        <f t="shared" si="0"/>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N40" s="2" t="s">
        <v>385</v>
      </c>
      <c r="O40" s="2" t="s">
        <v>387</v>
      </c>
      <c r="P40" s="2" t="s">
        <v>389</v>
      </c>
      <c r="Q40" s="2" t="s">
        <v>119</v>
      </c>
      <c r="R40" s="2" t="s">
        <v>119</v>
      </c>
      <c r="S40" s="2" t="s">
        <v>119</v>
      </c>
      <c r="U40" s="2" t="s">
        <v>388</v>
      </c>
      <c r="V40" s="2" t="s">
        <v>208</v>
      </c>
    </row>
    <row r="41" spans="1:24" ht="217.5" x14ac:dyDescent="0.35">
      <c r="A41" s="11">
        <v>2016</v>
      </c>
      <c r="B41" s="11" t="s">
        <v>205</v>
      </c>
      <c r="C41" s="2" t="s">
        <v>390</v>
      </c>
      <c r="D41" s="2" t="b">
        <v>1</v>
      </c>
      <c r="F41" s="10" t="s">
        <v>456</v>
      </c>
      <c r="I41" s="2" t="s">
        <v>392</v>
      </c>
      <c r="L41" s="2" t="str">
        <f t="shared" si="0"/>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N41" s="2" t="s">
        <v>391</v>
      </c>
      <c r="O41" s="2" t="s">
        <v>393</v>
      </c>
      <c r="P41" s="2" t="s">
        <v>395</v>
      </c>
      <c r="Q41" s="2" t="s">
        <v>119</v>
      </c>
      <c r="R41" s="2" t="s">
        <v>119</v>
      </c>
      <c r="S41" s="2" t="s">
        <v>119</v>
      </c>
      <c r="U41" s="2" t="s">
        <v>394</v>
      </c>
      <c r="V41" s="2" t="s">
        <v>208</v>
      </c>
    </row>
    <row r="42" spans="1:24" ht="145" x14ac:dyDescent="0.35">
      <c r="A42" s="11">
        <v>2016</v>
      </c>
      <c r="B42" s="11" t="s">
        <v>205</v>
      </c>
      <c r="C42" s="2" t="s">
        <v>396</v>
      </c>
      <c r="D42" s="2" t="b">
        <v>1</v>
      </c>
      <c r="F42" s="2" t="s">
        <v>450</v>
      </c>
      <c r="I42" s="2" t="s">
        <v>398</v>
      </c>
      <c r="L42" s="2" t="str">
        <f t="shared" si="0"/>
        <v>- [Slides](https://drive.google.com/open?id=0B5n4IeHrVBinblM4c2NtS25HaWs)
- &lt;https://drive.google.com/open?id=0B5n4IeHrVBinbmZpYmRjWFIzUVU&gt;</v>
      </c>
      <c r="N42" s="2" t="s">
        <v>397</v>
      </c>
      <c r="O42" s="2" t="s">
        <v>399</v>
      </c>
      <c r="P42" s="2" t="s">
        <v>401</v>
      </c>
      <c r="Q42" s="2" t="s">
        <v>119</v>
      </c>
      <c r="R42" s="2" t="s">
        <v>119</v>
      </c>
      <c r="S42" s="2" t="s">
        <v>119</v>
      </c>
      <c r="U42" s="2" t="s">
        <v>400</v>
      </c>
      <c r="V42" s="2" t="s">
        <v>208</v>
      </c>
    </row>
    <row r="43" spans="1:24" ht="217.5" x14ac:dyDescent="0.35">
      <c r="A43" s="11">
        <v>2016</v>
      </c>
      <c r="B43" s="11" t="s">
        <v>205</v>
      </c>
      <c r="C43" s="2" t="s">
        <v>402</v>
      </c>
      <c r="D43" s="2" t="b">
        <v>1</v>
      </c>
      <c r="F43" s="2" t="s">
        <v>451</v>
      </c>
      <c r="I43" s="2" t="s">
        <v>392</v>
      </c>
      <c r="L43" s="2" t="str">
        <f t="shared" si="0"/>
        <v>- [Slides](https://drive.google.com/open?id=0B5n4IeHrVBinRHZwaGwtMVBQT0k)
- &lt;www.baydeltalive.com/salinity&gt;</v>
      </c>
      <c r="N43" s="2" t="s">
        <v>391</v>
      </c>
      <c r="O43" s="2" t="s">
        <v>403</v>
      </c>
      <c r="P43" s="2" t="s">
        <v>405</v>
      </c>
      <c r="Q43" s="2" t="s">
        <v>119</v>
      </c>
      <c r="R43" s="2" t="s">
        <v>119</v>
      </c>
      <c r="S43" s="2" t="s">
        <v>119</v>
      </c>
      <c r="U43" s="2" t="s">
        <v>404</v>
      </c>
      <c r="V43" s="2" t="s">
        <v>208</v>
      </c>
    </row>
    <row r="44" spans="1:24" ht="203" x14ac:dyDescent="0.35">
      <c r="A44" s="11">
        <v>2016</v>
      </c>
      <c r="B44" s="11" t="s">
        <v>205</v>
      </c>
      <c r="C44" s="2" t="s">
        <v>406</v>
      </c>
      <c r="D44" s="2" t="b">
        <v>1</v>
      </c>
      <c r="F44" s="10" t="s">
        <v>457</v>
      </c>
      <c r="I44" s="2" t="s">
        <v>407</v>
      </c>
      <c r="L44" s="2" t="str">
        <f t="shared" si="0"/>
        <v>- [Slides](https://drive.google.com/open?id=0B5n4IeHrVBineUxWR25HTWNTZzQ)
- &lt;www.baydeltalive.com/djfmp ** Please navigation the data dashboards using the sub navigation: Triggers and Indices, RBDD, DJFMP Highlights, DJFMP Details, Water Quality, Salvage, NOAA Forecasts, Visualizations&gt;</v>
      </c>
      <c r="N44" s="2" t="s">
        <v>391</v>
      </c>
      <c r="O44" s="2" t="s">
        <v>408</v>
      </c>
      <c r="P44" s="2" t="s">
        <v>410</v>
      </c>
      <c r="Q44" s="2" t="s">
        <v>119</v>
      </c>
      <c r="R44" s="2" t="s">
        <v>119</v>
      </c>
      <c r="S44" s="2" t="s">
        <v>119</v>
      </c>
      <c r="U44" s="9" t="s">
        <v>409</v>
      </c>
      <c r="V44" s="2" t="s">
        <v>208</v>
      </c>
      <c r="W44" s="9"/>
      <c r="X44" s="9"/>
    </row>
    <row r="45" spans="1:24" ht="58" x14ac:dyDescent="0.35">
      <c r="A45" s="11">
        <v>2016</v>
      </c>
      <c r="B45" s="11" t="s">
        <v>205</v>
      </c>
      <c r="C45" s="2" t="s">
        <v>411</v>
      </c>
      <c r="D45" s="2" t="b">
        <v>1</v>
      </c>
      <c r="E45" s="2" t="s">
        <v>418</v>
      </c>
      <c r="F45" s="10" t="s">
        <v>452</v>
      </c>
      <c r="H45" s="2" t="s">
        <v>636</v>
      </c>
      <c r="I45" s="2" t="s">
        <v>412</v>
      </c>
      <c r="L45" s="2" t="str">
        <f t="shared" si="0"/>
        <v>- [Slides](https://drive.google.com/file/d/0B5n4IeHrVBinaWRleWZ1QVJRZ0k/view?resourcekey=0-eZCjxx_PJjVAxJ_nnHIdXA)
- &lt;http://storageaf.wixsite.com/shastadam&gt;</v>
      </c>
      <c r="N45" s="2" t="s">
        <v>119</v>
      </c>
      <c r="O45" s="2" t="s">
        <v>119</v>
      </c>
      <c r="P45" s="9" t="s">
        <v>413</v>
      </c>
      <c r="Q45" s="2" t="s">
        <v>119</v>
      </c>
      <c r="R45" s="2" t="s">
        <v>119</v>
      </c>
      <c r="S45" s="2" t="s">
        <v>119</v>
      </c>
      <c r="U45" s="9" t="s">
        <v>419</v>
      </c>
      <c r="V45" s="2" t="s">
        <v>235</v>
      </c>
    </row>
    <row r="46" spans="1:24" ht="87" x14ac:dyDescent="0.35">
      <c r="A46" s="13">
        <v>2018</v>
      </c>
      <c r="B46" s="13" t="s">
        <v>112</v>
      </c>
      <c r="C46" s="2" t="s">
        <v>22</v>
      </c>
      <c r="D46" s="2" t="b">
        <v>1</v>
      </c>
      <c r="E46" s="2" t="s">
        <v>160</v>
      </c>
      <c r="F46" s="2" t="s">
        <v>178</v>
      </c>
      <c r="G46" s="2" t="s">
        <v>25</v>
      </c>
      <c r="H46" s="2" t="s">
        <v>655</v>
      </c>
      <c r="I46" s="2" t="s">
        <v>26</v>
      </c>
      <c r="J46" s="2" t="s">
        <v>23</v>
      </c>
      <c r="K46" s="2" t="s">
        <v>161</v>
      </c>
      <c r="L46" s="2" t="str">
        <f>IF(ISBLANK(M46), "", "- [Project Repository]("&amp;M46&amp;")")</f>
        <v>- [Project Repository](https://github.com/waterdatacollaborative/FunctionWaterDataScience_Central-Valley-Well-Vulnerability)</v>
      </c>
      <c r="M46" s="2" t="s">
        <v>24</v>
      </c>
    </row>
    <row r="47" spans="1:24" ht="72.5" x14ac:dyDescent="0.35">
      <c r="A47" s="13">
        <v>2018</v>
      </c>
      <c r="B47" s="13" t="s">
        <v>112</v>
      </c>
      <c r="C47" s="2" t="s">
        <v>27</v>
      </c>
      <c r="D47" s="2" t="b">
        <v>1</v>
      </c>
      <c r="E47" s="2" t="s">
        <v>162</v>
      </c>
      <c r="F47" s="2" t="s">
        <v>179</v>
      </c>
      <c r="G47" s="2" t="s">
        <v>30</v>
      </c>
      <c r="H47" s="2" t="s">
        <v>652</v>
      </c>
      <c r="I47" s="2" t="s">
        <v>31</v>
      </c>
      <c r="J47" s="2" t="s">
        <v>28</v>
      </c>
      <c r="K47" s="2" t="s">
        <v>162</v>
      </c>
      <c r="L47" s="2" t="str">
        <f>IF(ISBLANK(M47), "", "- [Project Repository]("&amp;M47&amp;")")</f>
        <v>- [Project Repository](https://github.com/waterdatacollaborative/Dam-Safety-2018)</v>
      </c>
      <c r="M47" s="2" t="s">
        <v>29</v>
      </c>
    </row>
    <row r="48" spans="1:24" ht="43.5" x14ac:dyDescent="0.35">
      <c r="A48" s="13">
        <v>2018</v>
      </c>
      <c r="B48" s="13" t="s">
        <v>112</v>
      </c>
      <c r="C48" s="2" t="s">
        <v>32</v>
      </c>
      <c r="D48" s="2" t="b">
        <v>1</v>
      </c>
      <c r="E48" s="2" t="s">
        <v>33</v>
      </c>
      <c r="F48" s="2" t="s">
        <v>180</v>
      </c>
      <c r="G48" s="2" t="s">
        <v>36</v>
      </c>
      <c r="K48" s="2" t="s">
        <v>34</v>
      </c>
      <c r="L48" s="2" t="str">
        <f>IF(ISBLANK(M48), "", "- [Project Repository]("&amp;M48&amp;")")</f>
        <v>- [Project Repository](https://github.com/waterdatacollaborative/NicoleLook_Drinking-Water-Contaminant-Classification)</v>
      </c>
      <c r="M48" s="2" t="s">
        <v>35</v>
      </c>
    </row>
    <row r="49" spans="1:13" ht="159.5" x14ac:dyDescent="0.35">
      <c r="A49" s="13">
        <v>2018</v>
      </c>
      <c r="B49" s="13" t="s">
        <v>112</v>
      </c>
      <c r="C49" s="2" t="s">
        <v>42</v>
      </c>
      <c r="D49" s="2" t="b">
        <v>1</v>
      </c>
      <c r="E49" s="2" t="s">
        <v>164</v>
      </c>
      <c r="F49" s="2" t="s">
        <v>182</v>
      </c>
      <c r="G49" s="2" t="s">
        <v>19</v>
      </c>
      <c r="H49" s="2" t="s">
        <v>653</v>
      </c>
      <c r="I49" s="2" t="s">
        <v>45</v>
      </c>
      <c r="J49" s="2" t="s">
        <v>43</v>
      </c>
      <c r="K49" s="2" t="s">
        <v>164</v>
      </c>
      <c r="L49" s="2" t="str">
        <f t="shared" ref="L49:L68" si="1">IF(ISBLANK(M49), "", "- [Project Repository]("&amp;M49&amp;")")</f>
        <v>- [Project Repository](https://github.com/waterdatacollaborative/Get-the-Lead-Out)</v>
      </c>
      <c r="M49" s="2" t="s">
        <v>44</v>
      </c>
    </row>
    <row r="50" spans="1:13" ht="29" x14ac:dyDescent="0.35">
      <c r="A50" s="13">
        <v>2018</v>
      </c>
      <c r="B50" s="13" t="s">
        <v>112</v>
      </c>
      <c r="C50" s="2" t="s">
        <v>46</v>
      </c>
      <c r="D50" s="2" t="b">
        <v>1</v>
      </c>
      <c r="E50" s="2" t="s">
        <v>165</v>
      </c>
      <c r="F50" s="10" t="s">
        <v>703</v>
      </c>
      <c r="G50" s="2" t="s">
        <v>48</v>
      </c>
      <c r="H50" s="2" t="s">
        <v>49</v>
      </c>
      <c r="I50" s="2" t="s">
        <v>702</v>
      </c>
      <c r="J50" s="2" t="s">
        <v>47</v>
      </c>
      <c r="K50" s="2" t="s">
        <v>165</v>
      </c>
      <c r="L50" s="2" t="str">
        <f t="shared" si="1"/>
        <v/>
      </c>
    </row>
    <row r="51" spans="1:13" ht="43.5" x14ac:dyDescent="0.35">
      <c r="A51" s="13">
        <v>2018</v>
      </c>
      <c r="B51" s="13" t="s">
        <v>112</v>
      </c>
      <c r="C51" s="2" t="s">
        <v>50</v>
      </c>
      <c r="D51" s="2" t="b">
        <v>1</v>
      </c>
      <c r="E51" s="2" t="s">
        <v>51</v>
      </c>
      <c r="F51" s="2" t="s">
        <v>183</v>
      </c>
      <c r="G51" s="2" t="s">
        <v>19</v>
      </c>
      <c r="K51" s="2" t="s">
        <v>52</v>
      </c>
      <c r="L51" s="2" t="str">
        <f t="shared" si="1"/>
        <v>- [Project Repository](https://github.com/waterdatacollaborative/HowsMyWater-DataAnalysis)</v>
      </c>
      <c r="M51" s="2" t="s">
        <v>53</v>
      </c>
    </row>
    <row r="52" spans="1:13" ht="43.5" x14ac:dyDescent="0.35">
      <c r="A52" s="13">
        <v>2018</v>
      </c>
      <c r="B52" s="13" t="s">
        <v>112</v>
      </c>
      <c r="C52" s="2" t="s">
        <v>59</v>
      </c>
      <c r="D52" s="2" t="b">
        <v>1</v>
      </c>
      <c r="E52" s="2" t="s">
        <v>167</v>
      </c>
      <c r="F52" s="2" t="s">
        <v>185</v>
      </c>
      <c r="G52" s="2" t="s">
        <v>62</v>
      </c>
      <c r="H52" s="2" t="s">
        <v>63</v>
      </c>
      <c r="I52" s="2" t="s">
        <v>64</v>
      </c>
      <c r="J52" s="2" t="s">
        <v>60</v>
      </c>
      <c r="K52" s="2" t="s">
        <v>168</v>
      </c>
      <c r="L52" s="2" t="str">
        <f t="shared" si="1"/>
        <v>- [Project Repository](https://github.com/waterdatacollaborative/Open-Water-Rate-Specification-2018)</v>
      </c>
      <c r="M52" s="2" t="s">
        <v>61</v>
      </c>
    </row>
    <row r="53" spans="1:13" ht="72.5" x14ac:dyDescent="0.35">
      <c r="A53" s="13">
        <v>2018</v>
      </c>
      <c r="B53" s="13" t="s">
        <v>112</v>
      </c>
      <c r="C53" s="2" t="s">
        <v>70</v>
      </c>
      <c r="D53" s="2" t="b">
        <v>1</v>
      </c>
      <c r="E53" s="2" t="s">
        <v>169</v>
      </c>
      <c r="F53" s="2" t="s">
        <v>187</v>
      </c>
      <c r="G53" s="2" t="s">
        <v>73</v>
      </c>
      <c r="H53" s="2" t="s">
        <v>74</v>
      </c>
      <c r="I53" s="2" t="s">
        <v>75</v>
      </c>
      <c r="J53" s="2" t="s">
        <v>71</v>
      </c>
      <c r="K53" s="2" t="s">
        <v>169</v>
      </c>
      <c r="L53" s="2" t="str">
        <f t="shared" si="1"/>
        <v>- [Project Repository](https://github.com/waterdatacollaborative/JPLCivicHackers_Prediction-Visualization-Reported-Units)</v>
      </c>
      <c r="M53" s="2" t="s">
        <v>72</v>
      </c>
    </row>
    <row r="54" spans="1:13" ht="159.5" x14ac:dyDescent="0.35">
      <c r="A54" s="13">
        <v>2018</v>
      </c>
      <c r="B54" s="13" t="s">
        <v>112</v>
      </c>
      <c r="C54" s="2" t="s">
        <v>81</v>
      </c>
      <c r="D54" s="2" t="b">
        <v>1</v>
      </c>
      <c r="E54" s="2" t="s">
        <v>82</v>
      </c>
      <c r="F54" s="2" t="s">
        <v>189</v>
      </c>
      <c r="G54" s="2" t="s">
        <v>73</v>
      </c>
      <c r="I54" s="2" t="s">
        <v>85</v>
      </c>
      <c r="K54" s="2" t="s">
        <v>83</v>
      </c>
      <c r="L54" s="2" t="str">
        <f t="shared" si="1"/>
        <v>- [Project Repository](https://github.com/waterdatacollaborative/Water-Usage-and-Production)</v>
      </c>
      <c r="M54" s="2" t="s">
        <v>84</v>
      </c>
    </row>
    <row r="55" spans="1:13" ht="72.5" x14ac:dyDescent="0.35">
      <c r="A55" s="13">
        <v>2018</v>
      </c>
      <c r="B55" s="13" t="s">
        <v>112</v>
      </c>
      <c r="C55" s="2" t="s">
        <v>86</v>
      </c>
      <c r="D55" s="2" t="b">
        <v>1</v>
      </c>
      <c r="E55" s="2" t="s">
        <v>170</v>
      </c>
      <c r="F55" s="2" t="s">
        <v>190</v>
      </c>
      <c r="G55" s="2" t="s">
        <v>19</v>
      </c>
      <c r="H55" s="2" t="s">
        <v>634</v>
      </c>
      <c r="I55" s="2" t="s">
        <v>89</v>
      </c>
      <c r="J55" s="2" t="s">
        <v>87</v>
      </c>
      <c r="K55" s="2" t="s">
        <v>170</v>
      </c>
      <c r="L55" s="2" t="str">
        <f t="shared" si="1"/>
        <v>- [Project Repository](https://github.com/waterdatacollaborative/OpenOakland_Exceedence-Levels-Vis)</v>
      </c>
      <c r="M55" s="2" t="s">
        <v>88</v>
      </c>
    </row>
    <row r="56" spans="1:13" ht="130.5" x14ac:dyDescent="0.35">
      <c r="A56" s="13">
        <v>2018</v>
      </c>
      <c r="B56" s="13" t="s">
        <v>112</v>
      </c>
      <c r="C56" s="2" t="s">
        <v>99</v>
      </c>
      <c r="D56" s="2" t="b">
        <v>1</v>
      </c>
      <c r="E56" s="2" t="s">
        <v>100</v>
      </c>
      <c r="F56" s="2" t="s">
        <v>192</v>
      </c>
      <c r="G56" s="2" t="s">
        <v>48</v>
      </c>
      <c r="I56" s="2" t="s">
        <v>103</v>
      </c>
      <c r="K56" s="2" t="s">
        <v>101</v>
      </c>
      <c r="L56" s="2" t="str">
        <f t="shared" ref="L56:L63" si="2">IF(ISBLANK(M56), "", "- [Project Repository]("&amp;M56&amp;")")</f>
        <v>- [Project Repository](https://github.com/waterdatacollaborative/Water-Towards-True-Affordability)</v>
      </c>
      <c r="M56" s="2" t="s">
        <v>102</v>
      </c>
    </row>
    <row r="57" spans="1:13" ht="29" x14ac:dyDescent="0.35">
      <c r="A57" s="13">
        <v>2019</v>
      </c>
      <c r="B57" s="13" t="s">
        <v>111</v>
      </c>
      <c r="C57" s="2" t="s">
        <v>54</v>
      </c>
      <c r="D57" s="2" t="b">
        <v>1</v>
      </c>
      <c r="E57" s="2" t="s">
        <v>166</v>
      </c>
      <c r="F57" s="2" t="s">
        <v>184</v>
      </c>
      <c r="G57" s="2" t="s">
        <v>57</v>
      </c>
      <c r="H57" s="2" t="s">
        <v>49</v>
      </c>
      <c r="I57" s="2" t="s">
        <v>58</v>
      </c>
      <c r="J57" s="2" t="s">
        <v>55</v>
      </c>
      <c r="K57" s="2" t="s">
        <v>166</v>
      </c>
      <c r="L57" s="2" t="str">
        <f t="shared" si="2"/>
        <v>- [Project Repository](https://github.com/jyao8112/CA-Water-Contest.git)</v>
      </c>
      <c r="M57" s="2" t="s">
        <v>56</v>
      </c>
    </row>
    <row r="58" spans="1:13" ht="58" x14ac:dyDescent="0.35">
      <c r="A58" s="13">
        <v>2019</v>
      </c>
      <c r="B58" s="13" t="s">
        <v>111</v>
      </c>
      <c r="C58" s="2" t="s">
        <v>9</v>
      </c>
      <c r="D58" s="2" t="b">
        <v>1</v>
      </c>
      <c r="E58" s="2" t="s">
        <v>196</v>
      </c>
      <c r="F58" s="2" t="s">
        <v>195</v>
      </c>
      <c r="G58" s="2" t="s">
        <v>11</v>
      </c>
      <c r="I58" s="2" t="s">
        <v>12</v>
      </c>
      <c r="J58" s="2" t="s">
        <v>10</v>
      </c>
      <c r="K58" s="2" t="s">
        <v>196</v>
      </c>
      <c r="L58" s="2" t="str">
        <f t="shared" si="2"/>
        <v/>
      </c>
    </row>
    <row r="59" spans="1:13" ht="29" x14ac:dyDescent="0.35">
      <c r="A59" s="13">
        <v>2019</v>
      </c>
      <c r="B59" s="13" t="s">
        <v>111</v>
      </c>
      <c r="C59" s="2" t="s">
        <v>13</v>
      </c>
      <c r="D59" s="2" t="b">
        <v>1</v>
      </c>
      <c r="E59" s="2" t="s">
        <v>158</v>
      </c>
      <c r="F59" s="2" t="s">
        <v>195</v>
      </c>
      <c r="G59" s="2" t="s">
        <v>14</v>
      </c>
      <c r="I59" s="2" t="s">
        <v>15</v>
      </c>
      <c r="J59" s="2" t="s">
        <v>13</v>
      </c>
      <c r="K59" s="2" t="s">
        <v>158</v>
      </c>
      <c r="L59" s="2" t="str">
        <f t="shared" si="2"/>
        <v/>
      </c>
    </row>
    <row r="60" spans="1:13" ht="43.5" x14ac:dyDescent="0.35">
      <c r="A60" s="13">
        <v>2019</v>
      </c>
      <c r="B60" s="13" t="s">
        <v>111</v>
      </c>
      <c r="C60" s="2" t="s">
        <v>16</v>
      </c>
      <c r="D60" s="2" t="b">
        <v>1</v>
      </c>
      <c r="E60" s="2" t="s">
        <v>159</v>
      </c>
      <c r="F60" s="2" t="s">
        <v>177</v>
      </c>
      <c r="G60" s="2" t="s">
        <v>19</v>
      </c>
      <c r="H60" s="2" t="s">
        <v>20</v>
      </c>
      <c r="I60" s="2" t="s">
        <v>21</v>
      </c>
      <c r="J60" s="2" t="s">
        <v>17</v>
      </c>
      <c r="K60" s="2" t="s">
        <v>159</v>
      </c>
      <c r="L60" s="2" t="str">
        <f t="shared" si="2"/>
        <v>- [Project Repository](https://github.com/openoakland/clean-water)</v>
      </c>
      <c r="M60" s="2" t="s">
        <v>18</v>
      </c>
    </row>
    <row r="61" spans="1:13" ht="159.5" x14ac:dyDescent="0.35">
      <c r="A61" s="13">
        <v>2019</v>
      </c>
      <c r="B61" s="13" t="s">
        <v>111</v>
      </c>
      <c r="C61" s="2" t="s">
        <v>37</v>
      </c>
      <c r="D61" s="2" t="b">
        <v>1</v>
      </c>
      <c r="E61" s="2" t="s">
        <v>163</v>
      </c>
      <c r="F61" s="2" t="s">
        <v>181</v>
      </c>
      <c r="G61" s="2" t="s">
        <v>19</v>
      </c>
      <c r="H61" s="2" t="s">
        <v>40</v>
      </c>
      <c r="I61" s="2" t="s">
        <v>41</v>
      </c>
      <c r="J61" s="2" t="s">
        <v>38</v>
      </c>
      <c r="K61" s="2" t="s">
        <v>163</v>
      </c>
      <c r="L61" s="2" t="str">
        <f t="shared" si="2"/>
        <v>- [Project Repository](https://github.com/GeoSurge/get-the-lead-out-map)</v>
      </c>
      <c r="M61" s="2" t="s">
        <v>39</v>
      </c>
    </row>
    <row r="62" spans="1:13" ht="43.5" x14ac:dyDescent="0.35">
      <c r="A62" s="13">
        <v>2019</v>
      </c>
      <c r="B62" s="13" t="s">
        <v>111</v>
      </c>
      <c r="C62" s="2" t="s">
        <v>65</v>
      </c>
      <c r="D62" s="2" t="b">
        <v>1</v>
      </c>
      <c r="E62" s="2" t="s">
        <v>67</v>
      </c>
      <c r="F62" s="2" t="s">
        <v>186</v>
      </c>
      <c r="G62" s="2" t="s">
        <v>19</v>
      </c>
      <c r="H62" s="2" t="s">
        <v>654</v>
      </c>
      <c r="I62" s="2" t="s">
        <v>69</v>
      </c>
      <c r="J62" s="2" t="s">
        <v>66</v>
      </c>
      <c r="K62" s="2" t="s">
        <v>67</v>
      </c>
      <c r="L62" s="2" t="str">
        <f t="shared" si="2"/>
        <v>- [Project Repository](https://github.com/CAWaterBoardDataCenter/PFAS-Analysis-and-Intervention)</v>
      </c>
      <c r="M62" s="2" t="s">
        <v>68</v>
      </c>
    </row>
    <row r="63" spans="1:13" ht="29" x14ac:dyDescent="0.35">
      <c r="A63" s="13">
        <v>2019</v>
      </c>
      <c r="B63" s="13" t="s">
        <v>111</v>
      </c>
      <c r="C63" s="2" t="s">
        <v>76</v>
      </c>
      <c r="D63" s="2" t="b">
        <v>1</v>
      </c>
      <c r="E63" s="2" t="s">
        <v>78</v>
      </c>
      <c r="F63" s="2" t="s">
        <v>188</v>
      </c>
      <c r="G63" s="2" t="s">
        <v>30</v>
      </c>
      <c r="I63" s="2" t="s">
        <v>80</v>
      </c>
      <c r="J63" s="2" t="s">
        <v>77</v>
      </c>
      <c r="K63" s="2" t="s">
        <v>78</v>
      </c>
      <c r="L63" s="2" t="str">
        <f t="shared" si="2"/>
        <v>- [Project Repository](https://github.com/julianaspector/SourceWaterTimeMachine)</v>
      </c>
      <c r="M63" s="2" t="s">
        <v>79</v>
      </c>
    </row>
    <row r="64" spans="1:13" ht="58" x14ac:dyDescent="0.35">
      <c r="A64" s="13">
        <v>2019</v>
      </c>
      <c r="B64" s="13" t="s">
        <v>111</v>
      </c>
      <c r="C64" s="2" t="s">
        <v>90</v>
      </c>
      <c r="D64" s="2" t="b">
        <v>1</v>
      </c>
      <c r="E64" s="2" t="s">
        <v>171</v>
      </c>
      <c r="F64" s="2" t="s">
        <v>191</v>
      </c>
      <c r="G64" s="2" t="s">
        <v>19</v>
      </c>
      <c r="H64" s="2" t="s">
        <v>635</v>
      </c>
      <c r="I64" s="2" t="s">
        <v>92</v>
      </c>
      <c r="J64" s="2" t="s">
        <v>23</v>
      </c>
      <c r="K64" s="2" t="s">
        <v>172</v>
      </c>
      <c r="L64" s="2" t="str">
        <f t="shared" si="1"/>
        <v>- [Project Repository](https://github.com/caccr/cawdc_2019)</v>
      </c>
      <c r="M64" s="2" t="s">
        <v>91</v>
      </c>
    </row>
    <row r="65" spans="1:34" ht="43.5" x14ac:dyDescent="0.35">
      <c r="A65" s="13">
        <v>2019</v>
      </c>
      <c r="B65" s="13" t="s">
        <v>111</v>
      </c>
      <c r="C65" s="2" t="s">
        <v>93</v>
      </c>
      <c r="D65" s="2" t="b">
        <v>1</v>
      </c>
      <c r="E65" s="2" t="s">
        <v>173</v>
      </c>
      <c r="F65" s="2" t="s">
        <v>195</v>
      </c>
      <c r="G65" s="2" t="s">
        <v>48</v>
      </c>
      <c r="H65" s="2" t="s">
        <v>655</v>
      </c>
      <c r="I65" s="2" t="s">
        <v>95</v>
      </c>
      <c r="J65" s="2" t="s">
        <v>94</v>
      </c>
      <c r="K65" s="2" t="s">
        <v>173</v>
      </c>
      <c r="L65" s="2" t="str">
        <f t="shared" si="1"/>
        <v/>
      </c>
    </row>
    <row r="66" spans="1:34" ht="58" x14ac:dyDescent="0.35">
      <c r="A66" s="13">
        <v>2019</v>
      </c>
      <c r="B66" s="13" t="s">
        <v>111</v>
      </c>
      <c r="C66" s="2" t="s">
        <v>96</v>
      </c>
      <c r="D66" s="2" t="b">
        <v>1</v>
      </c>
      <c r="E66" s="2" t="s">
        <v>174</v>
      </c>
      <c r="F66" s="2" t="s">
        <v>195</v>
      </c>
      <c r="G66" s="2" t="s">
        <v>14</v>
      </c>
      <c r="I66" s="2" t="s">
        <v>98</v>
      </c>
      <c r="J66" s="2" t="s">
        <v>97</v>
      </c>
      <c r="K66" s="2" t="s">
        <v>174</v>
      </c>
      <c r="L66" s="2" t="str">
        <f t="shared" si="1"/>
        <v/>
      </c>
    </row>
    <row r="67" spans="1:34" ht="43.5" x14ac:dyDescent="0.35">
      <c r="A67" s="13">
        <v>2019</v>
      </c>
      <c r="B67" s="13" t="s">
        <v>111</v>
      </c>
      <c r="C67" s="2" t="s">
        <v>104</v>
      </c>
      <c r="D67" s="2" t="b">
        <v>1</v>
      </c>
      <c r="E67" s="2" t="s">
        <v>175</v>
      </c>
      <c r="F67" s="2" t="s">
        <v>193</v>
      </c>
      <c r="G67" s="2" t="s">
        <v>19</v>
      </c>
      <c r="I67" s="2" t="s">
        <v>106</v>
      </c>
      <c r="J67" s="2" t="s">
        <v>104</v>
      </c>
      <c r="K67" s="2" t="s">
        <v>175</v>
      </c>
      <c r="L67" s="2" t="str">
        <f t="shared" si="1"/>
        <v>- [Project Repository](https://github.com/junjunjd/WeedsViz)</v>
      </c>
      <c r="M67" s="2" t="s">
        <v>105</v>
      </c>
    </row>
    <row r="68" spans="1:34" ht="58" x14ac:dyDescent="0.35">
      <c r="A68" s="13">
        <v>2019</v>
      </c>
      <c r="B68" s="13" t="s">
        <v>111</v>
      </c>
      <c r="C68" s="2" t="s">
        <v>107</v>
      </c>
      <c r="D68" s="2" t="b">
        <v>1</v>
      </c>
      <c r="E68" s="2" t="s">
        <v>176</v>
      </c>
      <c r="F68" s="2" t="s">
        <v>195</v>
      </c>
      <c r="G68" s="2" t="s">
        <v>36</v>
      </c>
      <c r="H68" s="2" t="s">
        <v>63</v>
      </c>
      <c r="I68" s="2" t="s">
        <v>109</v>
      </c>
      <c r="J68" s="2" t="s">
        <v>108</v>
      </c>
      <c r="K68" s="2" t="s">
        <v>176</v>
      </c>
      <c r="L68" s="2" t="str">
        <f t="shared" si="1"/>
        <v/>
      </c>
    </row>
    <row r="69" spans="1:34" ht="409.5" x14ac:dyDescent="0.35">
      <c r="A69" s="14">
        <v>2021</v>
      </c>
      <c r="B69" s="14" t="s">
        <v>493</v>
      </c>
      <c r="C69" s="2" t="s">
        <v>494</v>
      </c>
      <c r="D69" s="2" t="b">
        <v>1</v>
      </c>
      <c r="E69" s="2" t="s">
        <v>496</v>
      </c>
      <c r="F69" s="10" t="s">
        <v>687</v>
      </c>
      <c r="H69" s="2" t="s">
        <v>49</v>
      </c>
      <c r="I69" s="2" t="str">
        <f t="shared" ref="I69:I74" si="3">Y69</f>
        <v>Clean Water Discrimination: The Native American Water Crisis</v>
      </c>
      <c r="J69" s="2" t="s">
        <v>495</v>
      </c>
      <c r="W69" s="2" t="s">
        <v>497</v>
      </c>
      <c r="X69" s="2" t="s">
        <v>498</v>
      </c>
      <c r="Y69" s="2" t="s">
        <v>499</v>
      </c>
      <c r="Z69" s="2" t="s">
        <v>500</v>
      </c>
      <c r="AA69" s="2" t="s">
        <v>501</v>
      </c>
      <c r="AB69" s="2" t="s">
        <v>502</v>
      </c>
      <c r="AC69" s="2" t="s">
        <v>503</v>
      </c>
      <c r="AD69" s="2" t="s">
        <v>504</v>
      </c>
      <c r="AE69" s="2" t="s">
        <v>505</v>
      </c>
      <c r="AF69" s="2" t="s">
        <v>506</v>
      </c>
      <c r="AG69" s="2" t="s">
        <v>507</v>
      </c>
      <c r="AH69" s="2" t="s">
        <v>508</v>
      </c>
    </row>
    <row r="70" spans="1:34" ht="409.5" x14ac:dyDescent="0.35">
      <c r="A70" s="14">
        <v>2021</v>
      </c>
      <c r="B70" s="14" t="s">
        <v>493</v>
      </c>
      <c r="C70" s="2" t="s">
        <v>509</v>
      </c>
      <c r="D70" s="2" t="b">
        <v>1</v>
      </c>
      <c r="E70" s="2" t="s">
        <v>646</v>
      </c>
      <c r="I70" s="2"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2" t="s">
        <v>510</v>
      </c>
      <c r="W70" s="2" t="s">
        <v>511</v>
      </c>
      <c r="X70" s="2" t="s">
        <v>512</v>
      </c>
      <c r="Y70" s="2" t="s">
        <v>513</v>
      </c>
      <c r="Z70" s="2" t="s">
        <v>514</v>
      </c>
      <c r="AA70" s="2" t="s">
        <v>515</v>
      </c>
      <c r="AB70" s="2" t="s">
        <v>516</v>
      </c>
      <c r="AC70" s="2" t="s">
        <v>517</v>
      </c>
      <c r="AD70" s="2" t="s">
        <v>518</v>
      </c>
      <c r="AE70" s="2" t="s">
        <v>519</v>
      </c>
      <c r="AF70" s="2" t="s">
        <v>520</v>
      </c>
      <c r="AG70" s="2" t="s">
        <v>521</v>
      </c>
    </row>
    <row r="71" spans="1:34" ht="188.5" x14ac:dyDescent="0.35">
      <c r="A71" s="14">
        <v>2021</v>
      </c>
      <c r="B71" s="14" t="s">
        <v>493</v>
      </c>
      <c r="C71" s="2" t="s">
        <v>522</v>
      </c>
      <c r="D71" s="2" t="b">
        <v>1</v>
      </c>
      <c r="E71" s="2" t="s">
        <v>524</v>
      </c>
      <c r="F71" s="10" t="s">
        <v>688</v>
      </c>
      <c r="H71" s="2" t="s">
        <v>655</v>
      </c>
      <c r="I71" s="2" t="str">
        <f t="shared" si="3"/>
        <v>We combine census data with groundwater quality data to provide a high-resolution map that helps answer the question "how do social, economic, and employment factors impact groundwater quality?".</v>
      </c>
      <c r="J71" s="2" t="s">
        <v>523</v>
      </c>
      <c r="W71" s="2" t="s">
        <v>525</v>
      </c>
      <c r="X71" s="2" t="s">
        <v>526</v>
      </c>
      <c r="Y71" s="2" t="s">
        <v>527</v>
      </c>
      <c r="Z71" s="2" t="s">
        <v>500</v>
      </c>
      <c r="AA71" s="2" t="s">
        <v>528</v>
      </c>
      <c r="AB71" s="2" t="s">
        <v>529</v>
      </c>
      <c r="AC71" s="2" t="s">
        <v>530</v>
      </c>
      <c r="AD71" s="2" t="s">
        <v>531</v>
      </c>
      <c r="AE71" s="2" t="s">
        <v>532</v>
      </c>
      <c r="AF71" s="2" t="s">
        <v>533</v>
      </c>
      <c r="AH71" s="2" t="s">
        <v>534</v>
      </c>
    </row>
    <row r="72" spans="1:34" ht="409.5" x14ac:dyDescent="0.35">
      <c r="A72" s="14">
        <v>2021</v>
      </c>
      <c r="B72" s="14" t="s">
        <v>493</v>
      </c>
      <c r="C72" s="2" t="s">
        <v>535</v>
      </c>
      <c r="D72" s="2" t="b">
        <v>1</v>
      </c>
      <c r="E72" s="2" t="s">
        <v>645</v>
      </c>
      <c r="F72" s="10" t="s">
        <v>692</v>
      </c>
      <c r="H72" s="2" t="s">
        <v>634</v>
      </c>
      <c r="I72" s="2" t="str">
        <f t="shared" si="3"/>
        <v>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v>
      </c>
      <c r="J72" s="2" t="s">
        <v>536</v>
      </c>
      <c r="W72" s="2" t="s">
        <v>537</v>
      </c>
      <c r="X72" s="2" t="s">
        <v>538</v>
      </c>
      <c r="Y72" s="2" t="s">
        <v>539</v>
      </c>
      <c r="Z72" s="2" t="s">
        <v>514</v>
      </c>
      <c r="AA72" s="2" t="s">
        <v>540</v>
      </c>
      <c r="AB72" s="2" t="s">
        <v>541</v>
      </c>
      <c r="AC72" s="2" t="s">
        <v>542</v>
      </c>
      <c r="AD72" s="2" t="s">
        <v>543</v>
      </c>
      <c r="AE72" s="2" t="s">
        <v>544</v>
      </c>
      <c r="AF72" s="2" t="s">
        <v>545</v>
      </c>
      <c r="AG72" s="2" t="s">
        <v>546</v>
      </c>
      <c r="AH72" s="2" t="s">
        <v>547</v>
      </c>
    </row>
    <row r="73" spans="1:34" ht="362.5" x14ac:dyDescent="0.35">
      <c r="A73" s="14">
        <v>2021</v>
      </c>
      <c r="B73" s="14" t="s">
        <v>493</v>
      </c>
      <c r="C73" s="2" t="s">
        <v>548</v>
      </c>
      <c r="D73" s="2" t="b">
        <v>1</v>
      </c>
      <c r="E73" s="2" t="s">
        <v>549</v>
      </c>
      <c r="F73" s="10" t="s">
        <v>691</v>
      </c>
      <c r="H73" s="2" t="s">
        <v>635</v>
      </c>
      <c r="I73" s="2" t="str">
        <f t="shared" si="3"/>
        <v>Bringing awareness to and analyzing a newly researched class of chemicals, PFAS.</v>
      </c>
      <c r="J73" s="2" t="s">
        <v>66</v>
      </c>
      <c r="W73" s="2" t="s">
        <v>550</v>
      </c>
      <c r="X73" s="2" t="s">
        <v>551</v>
      </c>
      <c r="Y73" s="2" t="s">
        <v>552</v>
      </c>
      <c r="Z73" s="2" t="s">
        <v>500</v>
      </c>
      <c r="AA73" s="2" t="s">
        <v>553</v>
      </c>
      <c r="AB73" s="2" t="s">
        <v>554</v>
      </c>
      <c r="AC73" s="2" t="s">
        <v>555</v>
      </c>
      <c r="AD73" s="2" t="s">
        <v>556</v>
      </c>
      <c r="AE73" s="2" t="s">
        <v>557</v>
      </c>
      <c r="AF73" s="2" t="s">
        <v>558</v>
      </c>
      <c r="AG73" s="2" t="s">
        <v>559</v>
      </c>
      <c r="AH73" s="2" t="s">
        <v>560</v>
      </c>
    </row>
    <row r="74" spans="1:34" ht="409.5" x14ac:dyDescent="0.35">
      <c r="A74" s="14">
        <v>2021</v>
      </c>
      <c r="B74" s="14" t="s">
        <v>493</v>
      </c>
      <c r="C74" s="2" t="s">
        <v>561</v>
      </c>
      <c r="D74" s="2" t="b">
        <v>1</v>
      </c>
      <c r="E74" s="2" t="s">
        <v>647</v>
      </c>
      <c r="F74" s="2" t="s">
        <v>690</v>
      </c>
      <c r="H74" s="2" t="s">
        <v>63</v>
      </c>
      <c r="I74" s="2"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2" t="s">
        <v>562</v>
      </c>
      <c r="W74" s="2" t="s">
        <v>563</v>
      </c>
      <c r="X74" s="2" t="s">
        <v>564</v>
      </c>
      <c r="Y74" s="2" t="s">
        <v>565</v>
      </c>
      <c r="Z74" s="2" t="s">
        <v>514</v>
      </c>
      <c r="AA74" s="2" t="s">
        <v>566</v>
      </c>
      <c r="AB74" s="2" t="s">
        <v>567</v>
      </c>
      <c r="AC74" s="2" t="s">
        <v>568</v>
      </c>
      <c r="AD74" s="2" t="s">
        <v>569</v>
      </c>
      <c r="AE74" s="2" t="s">
        <v>570</v>
      </c>
      <c r="AF74" s="2" t="s">
        <v>571</v>
      </c>
      <c r="AG74" s="2" t="s">
        <v>572</v>
      </c>
      <c r="AH74" s="2" t="s">
        <v>573</v>
      </c>
    </row>
    <row r="75" spans="1:34" ht="87" x14ac:dyDescent="0.35">
      <c r="A75" s="14">
        <v>2021</v>
      </c>
      <c r="B75" s="14" t="s">
        <v>493</v>
      </c>
      <c r="C75" s="2" t="s">
        <v>637</v>
      </c>
      <c r="D75" s="2" t="b">
        <v>1</v>
      </c>
      <c r="E75" s="2" t="s">
        <v>639</v>
      </c>
      <c r="F75" s="10" t="s">
        <v>689</v>
      </c>
      <c r="I75" s="2" t="s">
        <v>638</v>
      </c>
      <c r="J75" s="2" t="s">
        <v>639</v>
      </c>
      <c r="W75" s="2" t="s">
        <v>574</v>
      </c>
      <c r="X75" s="2" t="s">
        <v>575</v>
      </c>
      <c r="Y75" s="2" t="s">
        <v>576</v>
      </c>
      <c r="Z75" s="2" t="s">
        <v>514</v>
      </c>
      <c r="AA75" s="2" t="s">
        <v>577</v>
      </c>
      <c r="AB75" s="2" t="s">
        <v>578</v>
      </c>
      <c r="AC75" s="2" t="s">
        <v>579</v>
      </c>
      <c r="AD75" s="2" t="s">
        <v>580</v>
      </c>
      <c r="AE75" s="2" t="s">
        <v>581</v>
      </c>
      <c r="AF75" s="2" t="s">
        <v>582</v>
      </c>
      <c r="AG75" s="2" t="s">
        <v>583</v>
      </c>
      <c r="AH75" s="2" t="s">
        <v>584</v>
      </c>
    </row>
    <row r="76" spans="1:34" ht="159.5" x14ac:dyDescent="0.35">
      <c r="A76" s="14">
        <v>2021</v>
      </c>
      <c r="B76" s="14" t="s">
        <v>493</v>
      </c>
      <c r="C76" s="2" t="s">
        <v>585</v>
      </c>
      <c r="D76" s="2" t="b">
        <v>1</v>
      </c>
      <c r="E76" s="2" t="s">
        <v>648</v>
      </c>
      <c r="F76" s="10" t="s">
        <v>640</v>
      </c>
      <c r="H76" s="2" t="s">
        <v>651</v>
      </c>
      <c r="I76" s="2" t="str">
        <f>Y76</f>
        <v>Visualizations that quantify and identify the degree to which communities are vulnerable to threats to their drinking water supply, and intersectionality of systemic socio-economic environmental disadvantages.</v>
      </c>
      <c r="J76" s="2" t="s">
        <v>586</v>
      </c>
      <c r="W76" s="2" t="s">
        <v>587</v>
      </c>
      <c r="Y76" s="2" t="s">
        <v>588</v>
      </c>
      <c r="Z76" s="2" t="s">
        <v>500</v>
      </c>
      <c r="AA76" s="2" t="s">
        <v>589</v>
      </c>
      <c r="AB76" s="2" t="s">
        <v>590</v>
      </c>
      <c r="AC76" s="2" t="s">
        <v>591</v>
      </c>
      <c r="AD76" s="2" t="s">
        <v>592</v>
      </c>
      <c r="AE76" s="2" t="s">
        <v>593</v>
      </c>
      <c r="AF76" s="2" t="s">
        <v>594</v>
      </c>
      <c r="AH76" s="2" t="s">
        <v>595</v>
      </c>
    </row>
    <row r="77" spans="1:34" ht="409.5" x14ac:dyDescent="0.35">
      <c r="A77" s="14">
        <v>2021</v>
      </c>
      <c r="B77" s="14" t="s">
        <v>493</v>
      </c>
      <c r="C77" s="2" t="s">
        <v>596</v>
      </c>
      <c r="D77" s="2" t="b">
        <v>1</v>
      </c>
      <c r="E77" s="2" t="s">
        <v>649</v>
      </c>
      <c r="F77" s="10" t="s">
        <v>685</v>
      </c>
      <c r="H77" s="2" t="s">
        <v>635</v>
      </c>
      <c r="I77" s="2" t="str">
        <f>Y77</f>
        <v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v>
      </c>
      <c r="J77" s="2" t="s">
        <v>597</v>
      </c>
      <c r="W77" s="2" t="s">
        <v>598</v>
      </c>
      <c r="X77" s="2" t="s">
        <v>599</v>
      </c>
      <c r="Y77" s="2" t="s">
        <v>600</v>
      </c>
      <c r="Z77" s="2" t="s">
        <v>500</v>
      </c>
      <c r="AA77" s="2" t="s">
        <v>601</v>
      </c>
      <c r="AB77" s="2" t="s">
        <v>602</v>
      </c>
      <c r="AC77" s="2" t="s">
        <v>603</v>
      </c>
      <c r="AD77" s="2" t="s">
        <v>604</v>
      </c>
      <c r="AE77" s="2" t="s">
        <v>605</v>
      </c>
      <c r="AF77" s="2" t="s">
        <v>606</v>
      </c>
      <c r="AG77" s="2" t="s">
        <v>607</v>
      </c>
      <c r="AH77" s="2" t="s">
        <v>608</v>
      </c>
    </row>
    <row r="78" spans="1:34" ht="290" x14ac:dyDescent="0.35">
      <c r="A78" s="14">
        <v>2021</v>
      </c>
      <c r="B78" s="14" t="s">
        <v>493</v>
      </c>
      <c r="C78" s="2" t="s">
        <v>609</v>
      </c>
      <c r="D78" s="2" t="b">
        <v>1</v>
      </c>
      <c r="E78" s="2" t="s">
        <v>611</v>
      </c>
      <c r="F78" s="10" t="s">
        <v>686</v>
      </c>
      <c r="H78" s="2" t="s">
        <v>636</v>
      </c>
      <c r="I78" s="2" t="str">
        <f>Y78</f>
        <v>The sdwisard R package is an easy-to-use, open-source query tool for California drinking water quality data in the SDWIS database that enables reproducible analysis.</v>
      </c>
      <c r="J78" s="2" t="s">
        <v>610</v>
      </c>
      <c r="W78" s="2" t="s">
        <v>612</v>
      </c>
      <c r="X78" s="2" t="s">
        <v>613</v>
      </c>
      <c r="Y78" s="2" t="s">
        <v>614</v>
      </c>
      <c r="Z78" s="2" t="s">
        <v>500</v>
      </c>
      <c r="AA78" s="2" t="s">
        <v>515</v>
      </c>
      <c r="AB78" s="2" t="s">
        <v>615</v>
      </c>
      <c r="AC78" s="2" t="s">
        <v>616</v>
      </c>
      <c r="AD78" s="2" t="s">
        <v>617</v>
      </c>
      <c r="AE78" s="2" t="s">
        <v>618</v>
      </c>
      <c r="AF78" s="2" t="s">
        <v>619</v>
      </c>
      <c r="AG78" s="2" t="s">
        <v>620</v>
      </c>
      <c r="AH78" s="2" t="s">
        <v>621</v>
      </c>
    </row>
  </sheetData>
  <phoneticPr fontId="6" type="noConversion"/>
  <hyperlinks>
    <hyperlink ref="P5" r:id="rId1" location="!/vizhome/CaliforniaDams/Story1" display="https://public.tableau.com/profile/roy.fleshman#!/vizhome/CaliforniaDams/Story1" xr:uid="{B822D7DF-3392-4E92-8943-FA9125A80B0C}"/>
    <hyperlink ref="U5" r:id="rId2" xr:uid="{6CBDC80F-AD67-42CC-9C5B-AAE6DA4FC333}"/>
    <hyperlink ref="P10" r:id="rId3" location="1" display="https://tableau.stg.tabordasolutions.net/t/WaterBoardDataInnovationChallenge/views/WaterBoardDataInnovationChallenge/WaterAcidity?%3Aembed=y&amp;%3AshowShareOptions=true&amp;%3Adisplay_count=no&amp;%3AshowVizHome=no#1" xr:uid="{8731C6A6-7502-41E2-8D94-ACE4C25EB85B}"/>
    <hyperlink ref="U10" r:id="rId4" xr:uid="{FCD89EC8-1BF7-40C7-8116-12C197E1EE10}"/>
    <hyperlink ref="P8" r:id="rId5" location="!/vizhome/DataChallengeFinal/Dashboard1" display="https://public.tableau.com/profile/mark.tompkins#!/vizhome/DataChallengeFinal/Dashboard1" xr:uid="{BB7D6AC9-CCCB-4087-A221-3E0BBDF903B5}"/>
    <hyperlink ref="P3" r:id="rId6" display="https://cwee.shinyapps.io/greengov/" xr:uid="{9DA8471E-131A-4F47-AEFC-9AD1E4435ECB}"/>
    <hyperlink ref="Q3" r:id="rId7" xr:uid="{FD41BE79-17F7-47F8-AEDE-ECD4B7E1C131}"/>
    <hyperlink ref="U3" r:id="rId8" xr:uid="{0FB22818-3361-4478-8C3C-DBE904B28D94}"/>
    <hyperlink ref="Q7" r:id="rId9" display="http://catalog.civicdashboards.com/dataset/water-data-with-demographics" xr:uid="{DD8D60D3-EA43-45C7-99A2-494980825412}"/>
    <hyperlink ref="P7" r:id="rId10" display="http://www.civicdashboards.com/project/cawater" xr:uid="{46620FD6-7410-449A-A13F-7E819B419B02}"/>
    <hyperlink ref="U7" r:id="rId11" display="SLIDES: Demographic and Water Data Demonstration" xr:uid="{DE8D8B37-161A-4BF6-BE1D-D76857724475}"/>
    <hyperlink ref="U2" r:id="rId12" xr:uid="{EE24F71B-74F3-40DA-959A-94BB652530FD}"/>
    <hyperlink ref="U9" r:id="rId13" xr:uid="{DEF67A77-D4AA-41BB-BA15-75009D11ABBA}"/>
    <hyperlink ref="U6" r:id="rId14" xr:uid="{400ADE66-84F7-465B-A9A1-C2FDF4310533}"/>
    <hyperlink ref="U4" r:id="rId15" xr:uid="{E5B4ADBC-1623-41D3-8CA8-35077C77F8DE}"/>
    <hyperlink ref="R2" r:id="rId16" display="Source code for the web application: https://github.com/cloudcompli/wqexplorer" xr:uid="{B9B520EA-0260-47DB-B53B-E90A0BB7BF37}"/>
    <hyperlink ref="S2" r:id="rId17" display="Source code for an underlying data parsing library: https://github.com/cloudcompli/wqinspector" xr:uid="{F6B3EB80-77EB-40A9-A40F-F47418AE0461}"/>
    <hyperlink ref="Q2" r:id="rId18" display="A copy of the WQExplorer is running at http://wqexplorer.cloudcompli.com. Select either “CTR Limits” or “Deviation” from the menu to start an investigation." xr:uid="{86C1B2F6-AE0A-4D42-A212-E85A5A042963}"/>
    <hyperlink ref="P2" r:id="rId19" display="PAPER: Aggregating Municipal and State Open Data for Water Quality Investigations.pdf" xr:uid="{6CF3F666-E29B-4E2B-981F-D531C7CB36A5}"/>
    <hyperlink ref="P4" r:id="rId20" display="Links to interactive reports that provide a sample of the types of user interfaces that surface and visualize the results of the data science." xr:uid="{747C30BE-E6A8-45C7-ABA6-6CF89ABA0418}"/>
    <hyperlink ref="T5" r:id="rId21" display="PRESENTATION The Dams of California" xr:uid="{F079509A-8B88-4519-A722-99742EC2C34A}"/>
    <hyperlink ref="T3" r:id="rId22" display="PRESENTATION CA H2Open" xr:uid="{02B9C46A-58DC-4891-8B5A-72F2743D7C65}"/>
    <hyperlink ref="T7" r:id="rId23" display="PRESENTATION Demographic and Water Data Demonstration" xr:uid="{A79BD151-9F42-4B58-87AB-E944B3491B29}"/>
    <hyperlink ref="T2" r:id="rId24" display="PRESENTATION: Aggregating Municipal and State Open Data for Water Quality Investigations" xr:uid="{135B8A95-FEBA-44E4-9611-0A47BA00C5CB}"/>
    <hyperlink ref="T9" r:id="rId25" display="PRESENTATION Endora" xr:uid="{9DD7E06E-850F-4544-ADA8-5ABE4EDC5378}"/>
    <hyperlink ref="T6" r:id="rId26" display="PRESENTATION Preliminary Analysis of Surface Water Toxicity Dataset" xr:uid="{07B6BFF9-CF05-4721-BCCB-D88ECD60041E}"/>
    <hyperlink ref="T4" r:id="rId27" display="PRESENTATION Microsoft Cortana" xr:uid="{0C802228-89A2-43B5-BE7D-170099C409E7}"/>
    <hyperlink ref="T8" r:id="rId28" display="PRESENTATION: Dashboard on Efficiency and Bioassessment in Water Quality Enforcement" xr:uid="{BCF5FE4C-6B38-43EF-BB5C-B070C517FF97}"/>
    <hyperlink ref="U15" r:id="rId29" xr:uid="{810442AA-510E-40E7-B8CD-548016904C9A}"/>
    <hyperlink ref="Q15" r:id="rId30" xr:uid="{120619B6-32B1-4819-830D-8F7C36AA25F4}"/>
    <hyperlink ref="Q19" r:id="rId31" xr:uid="{D82FB8C6-DB0A-42A8-82A0-6E68D2DB656D}"/>
    <hyperlink ref="U19" r:id="rId32" xr:uid="{5291E324-B8AF-4319-8CC2-3390600EF0C2}"/>
    <hyperlink ref="U21" r:id="rId33" xr:uid="{563EAE4A-3B60-490B-810C-F96C8BB70B7A}"/>
    <hyperlink ref="P21" r:id="rId34" xr:uid="{75E740C5-F356-47B0-B661-A18DB6AD015B}"/>
    <hyperlink ref="U44" r:id="rId35" xr:uid="{E90BDE24-E504-497E-9D47-A1CD1A29C303}"/>
    <hyperlink ref="U45" r:id="rId36" xr:uid="{1A712C13-67DE-4E18-8010-20D3E0FD7971}"/>
    <hyperlink ref="P45" r:id="rId37" xr:uid="{F4A9C5EF-3389-4DA1-8DAE-B404C537C797}"/>
    <hyperlink ref="U36" r:id="rId38" xr:uid="{01C2F72F-F494-446D-B6A0-4144EB7DB6E4}"/>
    <hyperlink ref="U31" r:id="rId39" xr:uid="{F38EA03A-1687-4033-86F1-25218874A753}"/>
    <hyperlink ref="P31" r:id="rId40" xr:uid="{E1C9A8CA-C964-40E4-B45F-D10569A882F2}"/>
    <hyperlink ref="U23" r:id="rId41" xr:uid="{B994D86F-F653-4D58-838C-09818ACE4190}"/>
    <hyperlink ref="U11" r:id="rId42" xr:uid="{719D3B69-BACE-4EA0-B642-CA1B40E03174}"/>
    <hyperlink ref="U14" r:id="rId43" xr:uid="{2E46C829-6CDD-427D-9928-1BEE139EB9A8}"/>
    <hyperlink ref="U16" r:id="rId44" xr:uid="{1B930BBF-07F3-40B6-99AA-38DA861DBCE8}"/>
  </hyperlinks>
  <pageMargins left="0.7" right="0.7" top="0.75" bottom="0.75" header="0.3" footer="0.3"/>
  <legacyDrawing r:id="rId45"/>
  <extLst>
    <ext xmlns:x14="http://schemas.microsoft.com/office/spreadsheetml/2009/9/main" uri="{CCE6A557-97BC-4b89-ADB6-D9C93CAAB3DF}">
      <x14:dataValidations xmlns:xm="http://schemas.microsoft.com/office/excel/2006/main" count="4">
        <x14:dataValidation type="list" errorStyle="warning" allowBlank="1" showInputMessage="1" showErrorMessage="1" errorTitle="Warning" error="Please be sure to use the topic names listed in the topics_table tab, and separate multiple topics with a &quot; | &quot;. Add new topics to the 'topics_table' tab as needed." xr:uid="{3DA73E8D-BA44-43E4-B21A-F9D0618FA3BB}">
          <x14:formula1>
            <xm:f>topics_table!$A$2:$A$1048576</xm:f>
          </x14:formula1>
          <xm:sqref>G2:G1048576</xm:sqref>
        </x14:dataValidation>
        <x14:dataValidation type="list" allowBlank="1" showInputMessage="1" showErrorMessage="1" xr:uid="{DA0ABF75-B07D-4378-A807-5893A0B82FC4}">
          <x14:formula1>
            <xm:f>events_table!$A$2:$A$1048576</xm:f>
          </x14:formula1>
          <xm:sqref>A2:A1048576</xm:sqref>
        </x14:dataValidation>
        <x14:dataValidation type="list" allowBlank="1" showInputMessage="1" showErrorMessage="1" xr:uid="{6949B394-CDE1-4079-8B3F-4E9878FCB1EC}">
          <x14:formula1>
            <xm:f>events_table!$B$2:$B$1048576</xm:f>
          </x14:formula1>
          <xm:sqref>B2:B1048576</xm:sqref>
        </x14:dataValidation>
        <x14:dataValidation type="list" errorStyle="warning" allowBlank="1" showInputMessage="1" showErrorMessage="1" errorTitle="Warning" error="Please be sure to use the award names listed in the awards_table tab, and separate multiple awards with a &quot; | &quot;. Add new awards to the 'awards_table' tab as needed." xr:uid="{53B47CEE-3E15-4025-8F1A-376C4D37D3A8}">
          <x14:formula1>
            <xm:f>awards_table!$A$2:$A$1048576</xm:f>
          </x14:formula1>
          <xm:sqref>H2:H1048576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D854B-1183-411D-AC02-800268BD7217}">
  <dimension ref="A1:C15"/>
  <sheetViews>
    <sheetView zoomScale="70" zoomScaleNormal="70" workbookViewId="0"/>
  </sheetViews>
  <sheetFormatPr defaultRowHeight="14.5" x14ac:dyDescent="0.35"/>
  <cols>
    <col min="1" max="1" width="25.54296875" bestFit="1" customWidth="1"/>
    <col min="2" max="2" width="12.1796875" bestFit="1" customWidth="1"/>
    <col min="3" max="3" width="120.36328125" style="2" customWidth="1"/>
  </cols>
  <sheetData>
    <row r="1" spans="1:3" s="17" customFormat="1" x14ac:dyDescent="0.35">
      <c r="A1" s="18" t="s">
        <v>656</v>
      </c>
      <c r="B1" s="18" t="s">
        <v>657</v>
      </c>
      <c r="C1" s="15" t="s">
        <v>658</v>
      </c>
    </row>
    <row r="2" spans="1:3" ht="43.5" x14ac:dyDescent="0.35">
      <c r="A2" t="s">
        <v>40</v>
      </c>
      <c r="B2" t="s">
        <v>659</v>
      </c>
      <c r="C2" s="2" t="s">
        <v>660</v>
      </c>
    </row>
    <row r="3" spans="1:3" ht="43.5" x14ac:dyDescent="0.35">
      <c r="A3" t="s">
        <v>20</v>
      </c>
      <c r="B3" t="s">
        <v>659</v>
      </c>
      <c r="C3" s="2" t="s">
        <v>661</v>
      </c>
    </row>
    <row r="4" spans="1:3" x14ac:dyDescent="0.35">
      <c r="A4" t="s">
        <v>651</v>
      </c>
      <c r="B4" t="s">
        <v>659</v>
      </c>
    </row>
    <row r="5" spans="1:3" ht="116" x14ac:dyDescent="0.35">
      <c r="A5" t="s">
        <v>74</v>
      </c>
      <c r="B5" t="s">
        <v>659</v>
      </c>
      <c r="C5" s="2" t="s">
        <v>674</v>
      </c>
    </row>
    <row r="6" spans="1:3" x14ac:dyDescent="0.35">
      <c r="A6" t="s">
        <v>63</v>
      </c>
      <c r="B6" t="s">
        <v>659</v>
      </c>
      <c r="C6" s="2" t="s">
        <v>662</v>
      </c>
    </row>
    <row r="7" spans="1:3" x14ac:dyDescent="0.35">
      <c r="A7" t="s">
        <v>655</v>
      </c>
      <c r="B7" t="s">
        <v>659</v>
      </c>
      <c r="C7" s="2" t="s">
        <v>663</v>
      </c>
    </row>
    <row r="8" spans="1:3" x14ac:dyDescent="0.35">
      <c r="A8" t="s">
        <v>634</v>
      </c>
      <c r="B8" t="s">
        <v>659</v>
      </c>
    </row>
    <row r="9" spans="1:3" x14ac:dyDescent="0.35">
      <c r="A9" t="s">
        <v>664</v>
      </c>
      <c r="B9" t="s">
        <v>659</v>
      </c>
      <c r="C9" s="2" t="s">
        <v>665</v>
      </c>
    </row>
    <row r="10" spans="1:3" ht="43.5" x14ac:dyDescent="0.35">
      <c r="A10" t="s">
        <v>635</v>
      </c>
      <c r="B10" t="s">
        <v>659</v>
      </c>
      <c r="C10" s="2" t="s">
        <v>666</v>
      </c>
    </row>
    <row r="11" spans="1:3" ht="29" x14ac:dyDescent="0.35">
      <c r="A11" t="s">
        <v>49</v>
      </c>
      <c r="B11" t="s">
        <v>659</v>
      </c>
      <c r="C11" s="2" t="s">
        <v>667</v>
      </c>
    </row>
    <row r="12" spans="1:3" x14ac:dyDescent="0.35">
      <c r="A12" t="s">
        <v>652</v>
      </c>
      <c r="B12" t="s">
        <v>659</v>
      </c>
    </row>
    <row r="13" spans="1:3" x14ac:dyDescent="0.35">
      <c r="A13" t="s">
        <v>636</v>
      </c>
      <c r="B13" t="s">
        <v>659</v>
      </c>
    </row>
    <row r="14" spans="1:3" x14ac:dyDescent="0.35">
      <c r="A14" t="s">
        <v>155</v>
      </c>
      <c r="B14" t="s">
        <v>659</v>
      </c>
    </row>
    <row r="15" spans="1:3" x14ac:dyDescent="0.35">
      <c r="A15" t="s">
        <v>683</v>
      </c>
      <c r="B15" t="s">
        <v>659</v>
      </c>
      <c r="C15" s="2" t="s">
        <v>684</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EC5C1-0512-402E-B9D8-AD0188191257}">
  <dimension ref="A1:B6"/>
  <sheetViews>
    <sheetView zoomScale="70" zoomScaleNormal="70" workbookViewId="0"/>
  </sheetViews>
  <sheetFormatPr defaultRowHeight="14.5" x14ac:dyDescent="0.35"/>
  <cols>
    <col min="1" max="1" width="12.36328125" bestFit="1" customWidth="1"/>
    <col min="2" max="2" width="94.453125" style="2" customWidth="1"/>
  </cols>
  <sheetData>
    <row r="1" spans="1:2" s="17" customFormat="1" x14ac:dyDescent="0.35">
      <c r="A1" s="18" t="s">
        <v>668</v>
      </c>
      <c r="B1" s="16" t="s">
        <v>669</v>
      </c>
    </row>
    <row r="2" spans="1:2" ht="43.5" x14ac:dyDescent="0.35">
      <c r="A2" t="s">
        <v>48</v>
      </c>
      <c r="B2" s="2" t="s">
        <v>670</v>
      </c>
    </row>
    <row r="3" spans="1:2" x14ac:dyDescent="0.35">
      <c r="A3" t="s">
        <v>25</v>
      </c>
      <c r="B3" s="2" t="s">
        <v>671</v>
      </c>
    </row>
    <row r="4" spans="1:2" x14ac:dyDescent="0.35">
      <c r="A4" t="s">
        <v>30</v>
      </c>
      <c r="B4" s="2" t="s">
        <v>672</v>
      </c>
    </row>
    <row r="5" spans="1:2" x14ac:dyDescent="0.35">
      <c r="A5" t="s">
        <v>19</v>
      </c>
    </row>
    <row r="6" spans="1:2" x14ac:dyDescent="0.35">
      <c r="A6" t="s">
        <v>73</v>
      </c>
      <c r="B6" s="2" t="s">
        <v>673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3AC4-796F-49C0-A4C6-7444D8078FC0}">
  <dimension ref="A1:D6"/>
  <sheetViews>
    <sheetView zoomScale="70" zoomScaleNormal="70" workbookViewId="0"/>
  </sheetViews>
  <sheetFormatPr defaultRowHeight="14.5" x14ac:dyDescent="0.35"/>
  <cols>
    <col min="1" max="1" width="10.08984375" bestFit="1" customWidth="1"/>
    <col min="2" max="2" width="35.08984375" bestFit="1" customWidth="1"/>
    <col min="3" max="3" width="121.36328125" style="2" customWidth="1"/>
    <col min="4" max="4" width="15.6328125" customWidth="1"/>
  </cols>
  <sheetData>
    <row r="1" spans="1:4" x14ac:dyDescent="0.35">
      <c r="A1" s="18" t="s">
        <v>676</v>
      </c>
      <c r="B1" s="18" t="s">
        <v>675</v>
      </c>
      <c r="C1" s="18" t="s">
        <v>677</v>
      </c>
      <c r="D1" s="19" t="s">
        <v>680</v>
      </c>
    </row>
    <row r="2" spans="1:4" x14ac:dyDescent="0.35">
      <c r="A2">
        <v>2016</v>
      </c>
      <c r="B2" t="s">
        <v>152</v>
      </c>
      <c r="C2" s="10" t="s">
        <v>679</v>
      </c>
      <c r="D2">
        <f>COUNTIF(projects_table!B:B,B2)</f>
        <v>9</v>
      </c>
    </row>
    <row r="3" spans="1:4" ht="87" x14ac:dyDescent="0.35">
      <c r="A3">
        <v>2016</v>
      </c>
      <c r="B3" t="s">
        <v>205</v>
      </c>
      <c r="C3" s="10" t="s">
        <v>678</v>
      </c>
      <c r="D3">
        <f>COUNTIF(projects_table!B:B,B3)</f>
        <v>35</v>
      </c>
    </row>
    <row r="4" spans="1:4" x14ac:dyDescent="0.35">
      <c r="A4">
        <v>2018</v>
      </c>
      <c r="B4" t="s">
        <v>112</v>
      </c>
      <c r="D4">
        <f>COUNTIF(projects_table!B:B,B4)</f>
        <v>11</v>
      </c>
    </row>
    <row r="5" spans="1:4" x14ac:dyDescent="0.35">
      <c r="A5">
        <v>2019</v>
      </c>
      <c r="B5" t="s">
        <v>111</v>
      </c>
      <c r="D5">
        <f>COUNTIF(projects_table!B:B,B5)</f>
        <v>12</v>
      </c>
    </row>
    <row r="6" spans="1:4" x14ac:dyDescent="0.35">
      <c r="A6">
        <v>2021</v>
      </c>
      <c r="B6" t="s">
        <v>493</v>
      </c>
      <c r="D6">
        <f>COUNTIF(projects_table!B:B,B6)</f>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projects_table</vt:lpstr>
      <vt:lpstr>awards_table</vt:lpstr>
      <vt:lpstr>topics_table</vt:lpstr>
      <vt:lpstr>events_table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Altare, David@Waterboards</cp:lastModifiedBy>
  <dcterms:created xsi:type="dcterms:W3CDTF">2022-05-12T00:22:53Z</dcterms:created>
  <dcterms:modified xsi:type="dcterms:W3CDTF">2022-06-07T20:45:33Z</dcterms:modified>
</cp:coreProperties>
</file>
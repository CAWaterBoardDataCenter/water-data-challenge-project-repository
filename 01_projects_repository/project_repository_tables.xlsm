
<file path=[Content_Types].xml><?xml version="1.0" encoding="utf-8"?>
<Types xmlns="http://schemas.openxmlformats.org/package/2006/content-types">
  <Default ContentType="application/vnd.openxmlformats-officedocument.vmlDrawing" Extension="vml"/>
  <Default ContentType="application/xml" Extension="xml"/>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ReadMe" sheetId="1" r:id="rId4"/>
    <sheet state="visible" name="projects_table" sheetId="2" r:id="rId5"/>
    <sheet state="visible" name="awards_table" sheetId="3" r:id="rId6"/>
    <sheet state="visible" name="topics_table" sheetId="4" r:id="rId7"/>
    <sheet state="visible" name="events_table" sheetId="5" r:id="rId8"/>
  </sheets>
  <definedNames/>
  <calcPr/>
  <extLst>
    <ext uri="GoogleSheetsCustomDataVersion1">
      <go:sheetsCustomData xmlns:go="http://customooxmlschemas.google.com/" r:id="rId9" roundtripDataSignature="AMtx7miRvrdHhiiPTi3NMUVbRZrUxsLWLg=="/>
    </ext>
  </extLst>
</workbook>
</file>

<file path=xl/comments1.xml><?xml version="1.0" encoding="utf-8"?>
<comments xmlns:r="http://schemas.openxmlformats.org/officeDocument/2006/relationships" xmlns="http://schemas.openxmlformats.org/spreadsheetml/2006/main">
  <authors>
    <author/>
  </authors>
  <commentList>
    <comment authorId="0" ref="B1">
      <text>
        <t xml:space="preserve">======
ID#AAAAdwqI65U
Altare, David@Waterboards    (2022-09-02 22:13:08)
[Threaded comment]
Your version of Excel allows you to read this threaded comment; however, any edits to it will get removed if the file is opened in a newer version of Excel. Learn more: https://go.microsoft.com/fwlink/?linkid=870924
Comment:
   Use the drop-down menu to select a event/year. If you need to add a new event/year, add it to the 'events_table' sheet first, then select it from the drop-down menu.</t>
      </text>
    </comment>
    <comment authorId="0" ref="G1">
      <text>
        <t xml:space="preserve">======
ID#AAAAdwqI65Q
Altare, David@Waterboards    (2022-09-02 22:13:08)
[Threaded comment]
Your version of Excel allows you to read this threaded comment; however, any edits to it will get removed if the file is opened in a newer version of Excel. Learn more: https://go.microsoft.com/fwlink/?linkid=870924
Comment:
   For most cases, use the drop-down menu to select a topic. If a project has multiple topics, be sure to use the correct  topic names (i.e. the ones listed in the 'topics_table' sheet), and use a " | " to separate the topics. If you need to add a new topic, add it to the 'topics_table' sheet first, then select it from the drop-down menu.</t>
      </text>
    </comment>
    <comment authorId="0" ref="D1">
      <text>
        <t xml:space="preserve">======
ID#AAAAdwqI65M
Altare, David@Waterboards    (2022-09-02 22:13:08)
[Threaded comment]
Your version of Excel allows you to read this threaded comment; however, any edits to it will get removed if the file is opened in a newer version of Excel. Learn more: https://go.microsoft.com/fwlink/?linkid=870924
Comment:
   Enter "FALSE" to prevent the project info from being published to the project repository website (otherwise enter "TRUE" to publish the project info)</t>
      </text>
    </comment>
    <comment authorId="0" ref="A1">
      <text>
        <t xml:space="preserve">======
ID#AAAAdwqI65I
Altare, David@Waterboards    (2022-09-02 22:13:08)
[Threaded comment]
Your version of Excel allows you to read this threaded comment; however, any edits to it will get removed if the file is opened in a newer version of Excel. Learn more: https://go.microsoft.com/fwlink/?linkid=870924
Comment:
   Use the drop-down menu to select a event/year. If you need to add a new event/year, add it to the 'events_table' sheet first, then select it from the drop-down menu.</t>
      </text>
    </comment>
    <comment authorId="0" ref="H1">
      <text>
        <t xml:space="preserve">======
ID#AAAAdwqI65A
Altare, David@Waterboards    (2022-09-02 22:13:08)
[Threaded comment]
Your version of Excel allows you to read this threaded comment; however, any edits to it will get removed if the file is opened in a newer version of Excel. Learn more: https://go.microsoft.com/fwlink/?linkid=870924
Comment:
   For most cases, use the drop-down menu to select an award. If a project has multiple awards, be sure to use the correct award names (i.e. the ones listed in the 'awards_table' sheet), and use a " | " to separate the awards. If you need to add a new award, add it to the 'awards_table' sheet first, then select it from the drop-down menu.</t>
      </text>
    </comment>
    <comment authorId="0" ref="E1">
      <text>
        <t xml:space="preserve">======
ID#AAAAdwqI648
Altare, David@Waterboards    (2022-09-02 22:13:08)
[Threaded comment]
Your version of Excel allows you to read this threaded comment; however, any edits to it will get removed if the file is opened in a newer version of Excel. Learn more: https://go.microsoft.com/fwlink/?linkid=870924
Comment:
   separate names with a comma (","), and only use commas for that purpose (e.g., don't enter "John Doe, PhD")</t>
      </text>
    </comment>
    <comment authorId="0" ref="L1">
      <text>
        <t xml:space="preserve">======
ID#AAAAdwqI644
Altare, David@Waterboards    (2022-09-02 22:13:08)
[Threaded comment]
Your version of Excel allows you to read this threaded comment; however, any edits to it will get removed if the file is opened in a newer version of Excel. Learn more: https://go.microsoft.com/fwlink/?linkid=870924
Comment:
   !!! NOTE: This field contains custom formulas that are unique to each event/year (don't fill all cells with the top formula) !!!</t>
      </text>
    </comment>
    <comment authorId="0" ref="F1">
      <text>
        <t xml:space="preserve">======
ID#AAAAdwqI640
Altare, David@Waterboards    (2022-09-02 22:13:08)
[Threaded comment]
Your version of Excel allows you to read this threaded comment; however, any edits to it will get removed if the file is opened in a newer version of Excel. Learn more: https://go.microsoft.com/fwlink/?linkid=870924
Comment:
   copy-and-paste (as values) from the "resources-build" field to populate this field</t>
      </text>
    </comment>
  </commentList>
  <extLst>
    <ext uri="GoogleSheetsCustomDataVersion1">
      <go:sheetsCustomData xmlns:go="http://customooxmlschemas.google.com/" r:id="rId1" roundtripDataSignature="AMtx7mjjlQ8KU62A8ekNHu4vr3hXNFJgwg=="/>
    </ext>
  </extLst>
</comments>
</file>

<file path=xl/comments2.xml><?xml version="1.0" encoding="utf-8"?>
<comments xmlns:r="http://schemas.openxmlformats.org/officeDocument/2006/relationships" xmlns="http://schemas.openxmlformats.org/spreadsheetml/2006/main">
  <authors>
    <author/>
  </authors>
  <commentList>
    <comment authorId="0" ref="B1">
      <text>
        <t xml:space="preserve">======
ID#AAAAdwqI65E
Altare, David@Waterboards    (2022-09-02 22:13:08)
[Threaded comment]
Your version of Excel allows you to read this threaded comment; however, any edits to it will get removed if the file is opened in a newer version of Excel. Learn more: https://go.microsoft.com/fwlink/?linkid=870924
Comment:
   see here for unicode icons: https://unicode.org/emoji/charts/full-emoji-list.html</t>
      </text>
    </comment>
  </commentList>
  <extLst>
    <ext uri="GoogleSheetsCustomDataVersion1">
      <go:sheetsCustomData xmlns:go="http://customooxmlschemas.google.com/" r:id="rId1" roundtripDataSignature="AMtx7mgHUQmD6yUeuFD8jn0iY5PrRQ3ghg=="/>
    </ext>
  </extLst>
</comments>
</file>

<file path=xl/sharedStrings.xml><?xml version="1.0" encoding="utf-8"?>
<sst xmlns="http://schemas.openxmlformats.org/spreadsheetml/2006/main" count="1030" uniqueCount="700">
  <si>
    <t>Notes:</t>
  </si>
  <si>
    <t>- See the comments in the first row of each table for instructions about how to enter new project information in the correct format</t>
  </si>
  <si>
    <t xml:space="preserve"> - Only the information in the yellow colored fields (in Row 1) is directly used to build the project webpages. Enter/edit information in these fields to change what appears in the generated website.</t>
  </si>
  <si>
    <t xml:space="preserve"> - Grey colored fields (in Row 1) are not directly used to build the project webpages, but in some cases they are used to generate the content in the yellow colored fields. They are included for completeness (to capture all of the information that was submitted with each project).</t>
  </si>
  <si>
    <t xml:space="preserve"> - The information in the awards_table, topics_table, and events_table sheets are linked to the projects_table sheet, in the sense that they provide the valid values for certain fields in the projects_table sheet. If you don't see the award/topic/event you need in the dropdown menu in one of those fields, add it to the appropriate table first (along with the associated information), which will make it available in the dropdown menu.</t>
  </si>
  <si>
    <t xml:space="preserve"> - This information comes from projects submitted for multiple different events, and the type/format of the data collected wasn't consistent across events, so this is an attempt to combine all of that information from past events as well as provide a space to enter information about projects submitted for new events.</t>
  </si>
  <si>
    <t>year</t>
  </si>
  <si>
    <t>event</t>
  </si>
  <si>
    <t>title</t>
  </si>
  <si>
    <t>publish_to_website</t>
  </si>
  <si>
    <t>team_members</t>
  </si>
  <si>
    <t>resources</t>
  </si>
  <si>
    <t>topics</t>
  </si>
  <si>
    <t>awards</t>
  </si>
  <si>
    <t>description</t>
  </si>
  <si>
    <t>team_name</t>
  </si>
  <si>
    <t>team_members_url</t>
  </si>
  <si>
    <t>resources_build</t>
  </si>
  <si>
    <t>repo</t>
  </si>
  <si>
    <t>organization_affiliation</t>
  </si>
  <si>
    <t>list_of_datasets_used</t>
  </si>
  <si>
    <t>link_to_submission_1</t>
  </si>
  <si>
    <t>link_to_submission_2</t>
  </si>
  <si>
    <t>link_to_submission_3</t>
  </si>
  <si>
    <t>link_to_submission_4</t>
  </si>
  <si>
    <t>link_to_recorded_presentation_from_closing_event</t>
  </si>
  <si>
    <t>link_to_slides</t>
  </si>
  <si>
    <t>category_open_source</t>
  </si>
  <si>
    <t>Email addresses for each team member</t>
  </si>
  <si>
    <t>City/State of residence for each team member</t>
  </si>
  <si>
    <t>One sentence or phrase that describes the essence of your project, product, or innovation</t>
  </si>
  <si>
    <t>Our entry is:</t>
  </si>
  <si>
    <t>What challenge question / problem statement are you focusing on?</t>
  </si>
  <si>
    <t>What data did you use? What resources or prior work are you leveraging?</t>
  </si>
  <si>
    <t>What are your goals and anticipated impacts?</t>
  </si>
  <si>
    <t>What makes your approach unique or compelling at this moment?</t>
  </si>
  <si>
    <t>Please share any meaningful project results or insights, thus far.</t>
  </si>
  <si>
    <t>What were some of the (technical and other) challenges you tackled? In your opinion, what would it take to scale your project for greater impact?</t>
  </si>
  <si>
    <t>Social media handles, hashtags</t>
  </si>
  <si>
    <t>Submit your entry, including a 2 minute overview video.</t>
  </si>
  <si>
    <t>2016 Data Innovation Challenge</t>
  </si>
  <si>
    <t>Aggregating Municipal and State Open Data for Water Quality Investigations</t>
  </si>
  <si>
    <t>Eric Bollens, Jason Locklin, Jonny Sandu, Justin Grewal, Amanda Iaali, Kelvin Liu, Bryan Pastor, Grant Sharp</t>
  </si>
  <si>
    <t>- [Paper: Aggregating Municipal And State Open Data For Water Quality Investigations](http://wqexplorer.cloudcompli.com/paper#)
- [Application: Wqexplorer](http://wqexplorer.cloudcompli.com/#) Select Either “Ctr Limits” Or “Deviation” From The Menu To Start An Investigation
- [Source Code for Web Application](https://github.com/cloudcompli/wqexplorer#)
- [Source Code for an Underlying Data Parsing Library](https://github.com/cloudcompli/wqinspector#)
- [Presentation](http://www.waterboards.ca.gov/resources/data_databases/docs/aggregatingdata_pres.mp4#)
- [Slides](http://www.waterboards.ca.gov/resources/data_databases/docs/aggregatingdata.pdf#)</t>
  </si>
  <si>
    <t>Overall Winner</t>
  </si>
  <si>
    <t>Water quality monitoring required by municipal separate storm sewer system (MS4) permits in California generally focuses on determining the status and trends of conditions in receiving waters as they relate to designated beneficial uses. Results provide a pulse for the watershed. Just like a human pulse, while this information highlights if an issue exists, using it to find the source of the stressor is much more complex. 
This study presents a method for aggregating state and municipal data sources to assist with source identification. Specifically, it uses open data from Orange County Public Works (OCPW) and the California Storm Water Multiple Action and Report Tracking System (SMARTS) to identify possible dischargers responsible for exceedances of user-defined thresholds within Orange County’s watersheds. While applied to historical data because of the lack of real-time data sources, the application of this method with real-time sources enables quick reaction to degradations in water quality.</t>
  </si>
  <si>
    <t>CloudCompli, Inc &amp; Orange County Public Works</t>
  </si>
  <si>
    <t>•SMARTS Storm Water Violations from CA GreenGov API Portal: https://greengov.data.ca.gov/Water/Stormwater-Violations/xsyg-h4ri
•SMARTS Industrial Raw Parameter Results from Data Extract : https://smarts.waterboards.ca.gov
•Orange County Public Works Mass Emissions &amp; Estuary/Wetlands Monitoring Data from Data Extract: http://ocwatersheds.com/rainrecords/waterqualitydata/water_quality_monitoring_data</t>
  </si>
  <si>
    <t>Paper: Aggregating Municipal and State Open Data for Water Quality Investigations.pdf</t>
  </si>
  <si>
    <t>Application: WQExplorer (Select either “CTR Limits” or “Deviation” from the menu to start an investigation)</t>
  </si>
  <si>
    <t>Source Code (for web application): https://github.com/cloudcompli/wqexplorer</t>
  </si>
  <si>
    <t>Source Code (for an underlying data parsing library): https://github.com/cloudcompli/wqinspector</t>
  </si>
  <si>
    <t>Presentation: Aggregating Municipal and State Open Data for Water Quality Investigations</t>
  </si>
  <si>
    <t>Slides: Aggregating Municipal and State Open Data for Water Quality Investigations</t>
  </si>
  <si>
    <t>CA H2Open</t>
  </si>
  <si>
    <t>Andrew Holguin, Yoni Ackerman, Frank Loge, Edward Spang</t>
  </si>
  <si>
    <t>- [Application: CA H2Open](https://cwee.shinyapps.io/greengov/#)
- [Source Code](https://github.com/ucd-cwee/greengov-challenge#)
- [Presentation](http://www.waterboards.ca.gov/resources/data_databases/docs/cah2open_pres.mp4#)
- [Slides](http://www.waterboards.ca.gov/resources/data_databases/docs/cah2open.pdf#)</t>
  </si>
  <si>
    <t>Runner-Up</t>
  </si>
  <si>
    <t>In April 2015, Governor Brown mandated a 25 percent statewide reduction in water use by urban water suppliers across the state (relative to 2013 levels) with differentiated conservation targets for utilities with varying levels of baseline per capita usage (Executive Order B-29-15). The more than 400 public water agencies affected by the regulation were also required to report monthly progress towards the conservation goal to the State Water Board. This application uses the reported data to visualize how different water utilities have responded to this mandate. In addition to displaying a summary of water use relative to the conservation target for each district, we also calculate the electricity savings associated with the reduced demand on water infrastructure services using estimates of average energy intensity per hydrologic region. We then convert the electricity savings into avoided greenhouse gas (GHG) emissions based on the emissions factor specific to water utility's regional electricity provider. We can view the total water, energy, and GHG savings aggregated at the state level, as well as for each of the individual water utilities. One of the significant findings is that the electricity savings associated with the observed achievements in water conservation is roughly equivalent to the total electricity savings estimated for all of the energy IOU efficiency programs for the period from July through September 2015 (the period where data was available for both initiatives). In addition, the water conservation-related GHG savings over the same period represent the equivalent of taking about 50,000 cars off the road for a year.
In addition to the water conservation data, we prepared a few summary tables of the most common water quality testing and stormwater violation data for each utility. This data demonstrates how additional data could be integrated into the application to enrich the summary reports for each utility.</t>
  </si>
  <si>
    <t>UC Davis Center for Water-Energy Efficiency</t>
  </si>
  <si>
    <r>
      <rPr>
        <rFont val="Calibri"/>
        <color theme="1"/>
        <sz val="10.0"/>
      </rPr>
      <t>•</t>
    </r>
    <r>
      <rPr>
        <rFont val="Calibri"/>
        <color theme="1"/>
        <sz val="10.0"/>
      </rPr>
      <t>Water Conservation Reporting : http://www.waterboards.ca.gov/water_issues/programs/conservation_portal/conservation_reporting.shtml
•CA Water District Boundaries : https://greengov.data.ca.gov/Location/CA-Water-District-Boundaries/2952-74g4
•CA Power Mix By Utility : http://www.energy.ca.gov/sb1305/labels/index.html
•Water Quality Testing Results: http://www.waterboards.ca.gov/drinking_water/certlic/drinkingwater/EDTlibrary.shtml
•Wastewater Violations: https://greengov.data.ca.gov/Water/Water-Board-Wastewater-Violations-2001-2016/j9ag-8iad   
•Average Energy Intensity By Hydrologic Region: http://www.cpuc.ca.gov/WorkArea/DownloadAsset.aspx?id=5356
•GHG Emissions By Fuel Type : https://www.epa.gov/energy/egrid
•CA Energy Efficiency Programs Statistics : http://eestats.cpuc.ca.gov/Default.aspx</t>
    </r>
  </si>
  <si>
    <t>Application: CA H2Open</t>
  </si>
  <si>
    <t>Source Code: https://github.com/ucd-cwee/greengov-challenge</t>
  </si>
  <si>
    <t>–</t>
  </si>
  <si>
    <t>Presentation: CA H2Open</t>
  </si>
  <si>
    <t>Slides: CA H2Open</t>
  </si>
  <si>
    <t>Microsoft Cortana Intelligence</t>
  </si>
  <si>
    <t>Michael Cruz</t>
  </si>
  <si>
    <t>- [Application: Microsoft Cortana Intelligence](https://msit.powerbi.com/view?r=eyJrIjoiNDUwMDIyN2UtM2E2OC00ZTBlLWEwYjYtMzgzMDllY2M3OTYwIiwidCI6IjcyZjk4OGJmLTg2ZjEtNDFhZi05MWFiLTJkN2NkMDExZGI0NyIsImMiOjV9#) 
- [Presentation](http://www.waterboards.ca.gov/resources/data_databases/docs/microsoft_pres.mp4#)
- [Slides](http://www.waterboards.ca.gov/resources/data_databases/docs/mscortana.pdf#)</t>
  </si>
  <si>
    <t>Our project submission is a proof-of-concept entry that leverages Microsoft Cortana Intelligence to explore the themes and questions that have been presented for this challenge.  My intent is to show how Cortana Intelligence can provide CA Water Board internal and external staff the tools to 
1)      Ingest and Explore Data in a Data Lake
2)      Create Features and Models using Machine Learning
3)      Deploy, Consume, and Operationalize models with web services and reports.</t>
  </si>
  <si>
    <t>Microsoft</t>
  </si>
  <si>
    <t>Application: Microsoft Cortana Intelligence</t>
  </si>
  <si>
    <t>Presentation: Microsoft Cortana</t>
  </si>
  <si>
    <t>Slides: Microsoft Cortana</t>
  </si>
  <si>
    <t>The Dams of California</t>
  </si>
  <si>
    <t>Roy Fleshman</t>
  </si>
  <si>
    <t>- [Application](https://public.tableau.com/profile/roy.fleshman#!/vizhome/CaliforniaDams/Story1)
- [Presentation](http://www.waterboards.ca.gov/resources/data_databases/docs/damsofca_pres.mp4#)
- [Slides](http://www.waterboards.ca.gov/resources/data_databases/docs/damsofca.pdf#)</t>
  </si>
  <si>
    <t>The Dams of California is a data visualization web tool which provides the viewer with an interactive overview about the more than 2,000 non-Federal Dams in California. The viewer can select from the menu's to determine the number of dams in a particular county, which of the 8 types there are, the storage capacity and   which allow to see what dams are located in which county, they type of dam and who the owner is. Other information like the year built and the main tributary thus providing a complete picture of the various dams in California.</t>
  </si>
  <si>
    <t>•California Jurisdictional Dams, (Complete Listing of Dams within the Jurisdiction of the State of California) http://www.water.ca.gov/damsafety/damlisting/index.cfm, CDEC  Division of Safety of Dam</t>
  </si>
  <si>
    <t>Application: The Dams of California</t>
  </si>
  <si>
    <t>Presentation: The Dams of California</t>
  </si>
  <si>
    <t>Slides: The Dams of California</t>
  </si>
  <si>
    <t>Preliminary Analysis of Surface Water Toxicity Dataset</t>
  </si>
  <si>
    <t>Travis Ludlum</t>
  </si>
  <si>
    <t>- [Presentation](http://www.waterboards.ca.gov/resources/data_databases/docs/prelimanalysis_pres.mp4#)
- [Slides](http://www.waterboards.ca.gov/resources/data_databases/docs/prelimanalysis.pdf#)</t>
  </si>
  <si>
    <t xml:space="preserve">I found out about this data challenge rather late and just decided to take a stab at it for fun.  The data set was fairly large, so my goal was initially to try to provide some sort of graphical representations of the data, by project / region / organism, etc. In the end due to time constraints, none of that happened, so the script only computes averages and standard deviations for the various analytes and organisms.  
The full dataset or a subset of the data is read in as a CSV file, but must first be modified to remove commas.  I did this by just doing a search and replace in Excel, replacing commas with semi-colons, as I noticed many cells contained commas that would interfere with the way I split the cells in Python.  There may be a workaround to this using a CSV package in Python, but I didn’t have the time to look into that.  The script creates a mixture of classes and dictionaries, organizing data in several layers: by project, station name, organism name, and analyte.  Averages and standard deviations are computed for each project by organism name and analyte, essentially combining the data from each station.  These averages and standard deviations are written to a CSV results file and provide a very broad overview of the results of each project.  Average and standard deviation data is also available on a more in-depth level by station name.  Some projects involved the collection of samples with an initial and final reading appearing as separate entries; I did not have time to configure the script to treat these entries differently.  I also did very little data validation in terms of ignoring bad data points (I saw some -88 values) and did not attempt to fix mis-parsed data (I have a project in my results named “7:30:00”).  The script has several functions that compute date-time-values for entries, which could potentially be useful for chronologically sorting and plotting data, if a better method doesn’t exist already.
</t>
  </si>
  <si>
    <t>•Surface Water Toxicity 2003-2014</t>
  </si>
  <si>
    <t xml:space="preserve">See slides </t>
  </si>
  <si>
    <t>Presentation: Preliminary Analysis of Surface Water Toxicity Dataset</t>
  </si>
  <si>
    <t>Slides: Preliminary Analysis of Surface Water Toxicity Dataset</t>
  </si>
  <si>
    <t>Demographic and Water Data Demonstration</t>
  </si>
  <si>
    <t>Cyrus Pinto, Mike Dougherty, Joel Natividad, Sami Baig, Andrew Blythe</t>
  </si>
  <si>
    <t>- [Application: California Water Quality](http://www.civicdashboards.com/project/cawater#)
- [Application: Water Data With Demographics](http://catalog.civicdashboards.com/dataset/water-data-with-demographics#)
- [Presentation](http://www.waterboards.ca.gov/resources/data_databases/docs/demwaterdata_pres.mp4#)
- [Slides](http://www.waterboards.ca.gov/resources/data_databases/docs/demwaterdata.pdf#)</t>
  </si>
  <si>
    <t xml:space="preserve">We set out to examine how water quality information informs the demographics of the areas around it.  In particular, we considered whether the reported water quality and toxicity metrics correlate with the average income levels or ethnic makeup of a region. We examined the records from the CEDEN Water Quality and Toxicity databases from August 1st 2012-July 31st 2015.  The CEDEN data was married with the 2010 Census and income data by zip code.
Each substance or metric tested for in the dataset was tested to see how well it correlated to five variables for that particular zip code: mean income; median income; percentage of the population that is White; percentage of the population that is Hispanic; and percentage of the population that is African American.  Analytes such as Chlordane, Methoxychlor, Endrin Ketone and PBDE 140 showed very strong negative correlation with mean and median income as well as the percentage of the population that is White. Meanwhile strong positive correlations with the percentages that are Black or Hispanic. This suggests that these substances are found in higher levels in the lower income and/or predominantly Black and/or Hispanic neighborhoods.
</t>
  </si>
  <si>
    <t>OpenGov</t>
  </si>
  <si>
    <t xml:space="preserve">•California Environmental Data Exchange Network Water Quality Dataset (August 1st 2012-July 31st 2015)  (http://ceden.waterboards.ca.gov/AdvancedQueryTool)
•California Environmental Data Exchange Network Toxicity Dataset (August 1st 2012-July 31st 2015)  (http://ceden.waterboards.ca.gov/AdvancedQueryTool)
•California Water Quality Goals (http://www.waterboards.ca.gov/water_issues/programs/water_quality_goals/search.shtml)
•US Census 2010 (www.census.gov)
•Mean and Median Income by zip code (2006-2010) 
(http://www.psc.isr.umich.edu/dis/census/Features/tract2zip/)
</t>
  </si>
  <si>
    <t>Application: California Water Quality</t>
  </si>
  <si>
    <t>Application: Water Data With Demographics</t>
  </si>
  <si>
    <t>Presentation: Demographic and Water Data Demonstration</t>
  </si>
  <si>
    <t>Slides: Demographic and Water Data Demonstration</t>
  </si>
  <si>
    <t>Dashboard on Efficiency and Bioassessment in Water Quality Enforcement</t>
  </si>
  <si>
    <t>Mark Tompkins, Seth Lalonde, Mike Urkov</t>
  </si>
  <si>
    <t>- [Application: Efficiency and Bioassessment in Water Quality Enforcement](https://public.tableau.com/profile/mark.tompkins#!/vizhome/DataChallengeFinal/Dashboard1)
- [Presentation: Dashboard on Efficiency and Bioassessment in Water Quality Enforcement](http://www.waterboards.ca.gov/resources/data_databases/docs/bioassesswq_pres.mp4#)</t>
  </si>
  <si>
    <t>Our entry is a dashboard that demonstrates the efficiency of enforcement actions relative to stream health at the county level. The dashboard allows a user to select a contaminant (or suite of contaminants) and a county in California to chart MCL exceedances by contaminant and county. The dashboard also presents CSCI stream condition scores for the selected County and the total dollar assessment for all enforcement actions in the county. Next, the dashboard calculates the percent of “intact” stream condition in the County as the average CSCI score divided by 0.92 (the intact threshold). Finally, the dashboard calculates the cost in dollars per CSCI unit as a measure of efficiency of enforcement relative to stream condition. Try selecting multiple chemicals. Compare different counties. Explore the MCL exceedances to see which constituents are the biggest problems. Enjoy!</t>
  </si>
  <si>
    <t>FlowWest</t>
  </si>
  <si>
    <t xml:space="preserve">•CSCI Site Score Database
•DRINC.ca.gov
•Wasterwater enforcement actions 1990s-present
</t>
  </si>
  <si>
    <t>Application: Efficiency and Bioassessment in Water Quality Enforcement</t>
  </si>
  <si>
    <t>Presentation: Dashboard on Efficiency and Bioassessment in Water Quality Enforcement</t>
  </si>
  <si>
    <t>Endora</t>
  </si>
  <si>
    <t>Alberto Curiel, Adrian Alvarez</t>
  </si>
  <si>
    <t>- [Presentation](http://www.waterboards.ca.gov/resources/data_databases/docs/endora_pres.mp4#)
- [Slides](http://www.waterboards.ca.gov/resources/data_databases/docs/endora.pdf#)</t>
  </si>
  <si>
    <t>Endora is a AI Cognitive System to make a symbiosis between humans, machines and nature, to monit the climate change on real time and follow the parameters monitored. Endora reads your questions in natural language, Endora follows information from multiple indicators, dispersed datasets, files, research documents, internet, makes simulations, inductions, analysis, deductions.</t>
  </si>
  <si>
    <t>See slides</t>
  </si>
  <si>
    <t>Presentation: Endora</t>
  </si>
  <si>
    <t>Slides: Endora</t>
  </si>
  <si>
    <t>Tableau: Water Acidity</t>
  </si>
  <si>
    <t>Gustavo Iturriaga, Eduardo Parra</t>
  </si>
  <si>
    <t>- [Application: Water Acidity](https://tableau.stg.tabordasolutions.net/t/WaterBoardDataInnovationChallenge/views/WaterBoardDataInnovationChallenge/WaterAcidity?%3Aembed=y&amp;%3AshowShareOptions=true&amp;%3Adisplay_count=no&amp;%3AshowVizHome=no#1) 
- [Slides](http://www.waterboards.ca.gov/resources/data_databases/docs/wateracidity.pdf#)</t>
  </si>
  <si>
    <t xml:space="preserve">Our entry will consist of three different visualizations created with Tableau. The Viz’s will be accessible through the internet on our company server and the presentation will have emphasis on expressing the abilities tableau has to offer. With data found on the Open Green Gov website and other public websites, we will show how tableau can illustrate water pH levels found in California. We will also show how water is becoming more acidic over time using data from Hawaiian oceans and explain some implications this could bring to our planet in the future. </t>
  </si>
  <si>
    <t>Taborda Solutions</t>
  </si>
  <si>
    <t xml:space="preserve">• Green Gov Challenge website: Surface Water Toxicity 2003-2014
URL: https://greengov.data.ca.gov/Water/Surface-Water-Toxicity-2003-2014/8smq-t728 
-This Data set was used for our first visualization that illustrates the different pH levels in California depending on the stations the water samples were collected from. 
• Hawaii Ocean Time-Series (HOT): Station ALOHA Surface Ocean Carbon Dioxide
Home URL: http://hahana.soest.hawaii.edu/hot/hot_jgofs.html 
Data URL: http://hahana.soest.hawaii.edu/hot/products/HOT_surface_CO2.txt 
-This Data set was used to create two visualizations. The first shows the relationship between changes in ocean carbon dioxide levels and the second shows pH levels, both over a time period of 26 years. 
</t>
  </si>
  <si>
    <t>Application: Water Acidity</t>
  </si>
  <si>
    <t>Slides: Tableau: Water Acidity</t>
  </si>
  <si>
    <t>2016 White House Water Data Challenge</t>
  </si>
  <si>
    <t>The California Water Planning Information Exchange (Water PIE)</t>
  </si>
  <si>
    <t>- [Slides](https://drive.google.com/file/d/0B5n4IeHrVBinS1FyeEJkMHdaZ2c/view?resourcekey=0-YQ2WWx4xoOPwoTJXYIMr9Q)
- [Project Website](https://cadwr.databasin.org/)</t>
  </si>
  <si>
    <t>Based on Data Basin technology, the Conservation Biology Institute (CBI) recently completed a web-based data sharing and map visualization pilot called the Water Planning Information Exchange (or Water PIE) for the California Department of Water Resources. This web mapping platform was constructed around four primary goals – improve spatial data accessibility; allow for integration of datasets from disparate places; make the system easy to use; and support various forms of collaboration. The pilot project demonstrated that the platform supports time series data; for example, reporting data from stationary locations such as groundwater well readings.
 While the platform contains several novel technical approaches to online mapping and data sharing, it’s most unique strengths pertain to features that support a variety of social interactions. Working from personal accounts, users manage content in their own private workspaces that they can return to at any time. Users can query spatial datasets, load their own datasets, build new maps from the large library of authoritative data, download content, and share content with whomever they wish. They can easily create public or private working groups to address any topic of interest and numerous platform features (e.g., commenting on maps) allow for effective collaboration.</t>
  </si>
  <si>
    <t>Conservation Biology Institute</t>
  </si>
  <si>
    <t>•California Statewide Groundwater Elevation Monitoring Database (March 2016), California Department of Water Resources
 cadwr.databasin.org/datasets/1f16180a077d4b79a701f4c2a1743237
 •California Subsidence and Groundwater Levels, California Department of Water Resources
 cadwr.databasin.org/datasets/f6798913f9414a0e9ec1db4b2d007162 
 •Groundwater Recharge Areas, California Water Institute
 cadwr.databasin.org/datasets/52072bcadb5246cb8ceb2c921c97ce95 
 • Saline Soils, Natural Resource Conservation Service
 cadwr.databasin.org/datasets/f75bf2578b07456d958215aac3404567 
 •CalEnviro Screen 2.0: Total pounds of selected active pesticide ingredients (filtered for hazard and volatility) used in production-agriculture per square mile, California Environmental Protection Agency
 cadwr.databasin.org/datasets/04bf962fe85a46f2bd2de5f3caac57ad 
 •Fresno County Farmland Mapping and Monitoring Program (FMMP), 1984 to 2014, California Department of Conservation
 cadwr.databasin.org/datasets/43d5879e939f4837847d03f1e8060b77</t>
  </si>
  <si>
    <t>cadwr.databasin.org</t>
  </si>
  <si>
    <t>https://drive.google.com/file/d/0B5n4IeHrVBinS1FyeEJkMHdaZ2c/view?resourcekey=0-YQ2WWx4xoOPwoTJXYIMr9Q</t>
  </si>
  <si>
    <t>Non-Open Source</t>
  </si>
  <si>
    <t>Exploring climate change through RainSphere</t>
  </si>
  <si>
    <r>
      <rPr>
        <rFont val="Calibri"/>
        <color theme="1"/>
        <sz val="11.0"/>
      </rPr>
      <t>- [Slides](https://drive.google.com/file/d/0B_SI-qUI02kYcXVzQ3BNN0Q4Mm8/view?usp=sharing)
- [RainSphere Site](http://rainsphere.eng.uci.edu/)</t>
    </r>
    <r>
      <rPr>
        <rFont val="Calibri"/>
        <color rgb="FF000000"/>
        <sz val="11.0"/>
      </rPr>
      <t xml:space="preserve">
</t>
    </r>
    <r>
      <rPr>
        <rFont val="Calibri"/>
        <color theme="1"/>
        <sz val="11.0"/>
      </rPr>
      <t>- [RainSphere Tutorial](https://www.youtube.com/watch?v=eI2-f88iGlY)
- [Bulletin of the American Meteorological Society Journal](http://journals.ametsoc.org/doi/pdf/10.1175/BAMS-D-16-0036.1)</t>
    </r>
  </si>
  <si>
    <t>A new user-friendly climate data exploration tool called RainSphere (http://rainsphere.eng.uci.edu/), developed by the Center for Hydrometeorology and Remote Sensing (CHRS), is designed for use in a range of scientific studies and applications as well as to aid in the education of the general public and to promote independent inquisition and discovery of climate studies.
Over 33 years of retrospective global precipitation estimates have been provided via the Precipitation Estimation from Remotely Sensed Information using Artificial Neural Networks - Climate Data Record (PERSIANN-CDR) for visualization on RainSphere. In addition, projections of future precipitation from several carbon emission scenarios from the Intergovernmental Panel on Climate Change (IPCC) Coupled Model Intercomparison Project, Phase 5 (CMIP5) are also available for visualization with the CHRS RainSphere interface.
 Users are able to easily customize their investigations of historical precipitation estimates and future projections through automatically generated analysis products including time series, spatial plots, and basic trend analysis. Easy-to-use browsing capabilities allow the global data to swiftly be divided into regions of interest by country, political division (e.g. province/state), continental basin, major basin, tributary basin, watershed or a highly localized, searchable location. The tool automatically generates summarized reports with information about the selected area and also allows users to download any data and/or statistics extracted after browsing. CHRS RainSphere allows the data to speak for itself in a way that is easily understandable by the public in order to increase the number of informed participants in the conversation of climate and climate variability. RainSphere can be used to explore rainfall trends across spatial scales over California such as the severe drought in 2013. 
 Lastly, our strategy to provide rainfall information to various user communities is to make it as painless as possible and to not leave users with the task of learning how to use the site by trial and error. For this reason, a six minute video tutorial is prepared and made available at https://www.youtube.com/watch?v=eI2-f88iGlY</t>
  </si>
  <si>
    <t>University of California, Irvine</t>
  </si>
  <si>
    <t>•The near-global 30+ year high-resolution precipitation dataset PERSIANN-CDR (Precipitation Estimation from Remotely Sensed Information using Artificial Neural Networks - Climate Data Record) by the Center for Hydrometeorology &amp; Remote Sensing (CHRS), UC Irvine, link: http://chrsdata.eng.uci.edu 
 •The Coupled Model Intercomparison Project, Phase 5 (CMIP5) from the Canadian Climate Data and Scenarios, link: http://ccds-dscc.ec.gc.ca 
 •The International Global Biosphere Programme (IGBP) dataset, link: http://www.igbp.net</t>
  </si>
  <si>
    <t>http://rainsphere.eng.uci.edu/</t>
  </si>
  <si>
    <t>https://www.youtube.com/watch?v=eI2-f88iGlY</t>
  </si>
  <si>
    <t>http://journals.ametsoc.org/doi/pdf/10.1175/BAMS-D-16-0036.1</t>
  </si>
  <si>
    <t>https://drive.google.com/file/d/0B_SI-qUI02kYcXVzQ3BNN0Q4Mm8/view?usp=sharing</t>
  </si>
  <si>
    <t>- [Slides](https://drive.google.com/file/d/0B_SI-qUI02kYZ0YwZzJnMU1Bdk0/view?usp=sharing)
- [iRain on App Store](https://itunes.apple.com/sa/app/irain-app/id982858283?mt=8)
- [iRain Website](http://irain.eng.uci.edu/)
- [iRain UNESCO Article](http://en.unesco.org/news/irain-new-mobile-app-promote-citizen-science-and-support-water-management)</t>
  </si>
  <si>
    <t>iRain provides access to real-time global high-resolution (~4km) satellite precipitation products from the PERSIANN-CCS (Precipitation Estimation from Remotely Sensed Information using the Artificial Neural Networks - Cloud Classification System), which has been developed by the research team at CHRS. The building block of iRain rests on the satellite precipitation estimates generated by the PERSIANN algorithm which has been under development for over two decades. More detailed information about PERSIANN-CCS can be found at http://chrs.web.uci.edu. 
 iRain allows users to visualize real-time global satellite precipitation observations and track extreme precipitation events globally. It is especially useful for monitoring extreme events related to atmospheric rivers affecting California. Users can also use the crowdsourcing functionality of the app to report their local rainfall information to supplement our data.</t>
  </si>
  <si>
    <t>•The near-global real-time high resolution satellite precipitation dataset PERSIANN-CCS by the Center for Hydrometeorology &amp; Remote Sensing (CHRS), UC Irvine, link: http://chrsdata.eng.uci.edu</t>
  </si>
  <si>
    <t>https://itunes.apple.com/sa/app/irain-app/id982858283?mt=8</t>
  </si>
  <si>
    <t>http://irain.eng.uci.edu/</t>
  </si>
  <si>
    <t>http://en.unesco.org/news/irain-new-mobile-app-promote-citizen-science-and-support-water-management</t>
  </si>
  <si>
    <t>https://drive.google.com/file/d/0B_SI-qUI02kYZ0YwZzJnMU1Bdk0/view?usp=sharing</t>
  </si>
  <si>
    <t>CASGEM Data Mining and Visualization Tools and Technologies for SMART WELLFIELDS™</t>
  </si>
  <si>
    <t>- [Slides](https://drive.google.com/file/d/0B5n4IeHrVBinVlhwSkVWZ1l1Ukk/view?resourcekey=0-P4i2jPBw4GYnAwVu6dArCg)
- [Epiphiny Database](www.epiphiny.com)
- [AQUILYTICS Platform](www.realgw.com)</t>
  </si>
  <si>
    <t>Problem Statements:
• Groundwater Science is a “black box” to most people, because we cannot “see” under the ground.
• The general public, ranchers, growers, regulators, and public and private water utilities cannot be expected to understand groundwater flow dynamics and well hydraulics.
• The United States has a limited ability to use groundwater science for aquifer resource management because, while we have some excellent groundwater level data, we generally do not have pumping data that are contemporaneous. Hydrogeology can be very quantitative if you know the water level and corresponding pumping rate.
Solutions Statement: 
Our firms have been developing groundwater science hardware and software tools for over 20 years. We are not software companies – we are hydrogeologists who had a vision of better science through computing. The Internet of Things (IoT) is changing people’s perspective on what is possible. We have invented a turn-key process to collect and store large, continuous data sets (AQUIMETRICS™). We have developed algorithms to use either historic data or real-time/continuous data feeds to create groundwater contour maps on-the-fly and to assess well hydraulics (AQUILYTICS™). Using our telemetry (AQUIMETRICS™), Geographic Information System (GIS), database (EPIPHINY®), and coding technologies (AQUILYTICS™), we can visualize the quantity of groundwater, where it is coming from, where it is going, and how to optimize groundwater pumping to meet an objective. Wellfield operators also know how to save water, save electricity, and save maintenance costs on their wells. Our vision is to facilitate SMART WELLFIELDS™ - a network of wells where flow rate and water level information are continually analyzed to automatically turn pumps up and down (and on and off) to better manage an aquifer resource.Entry StatementLocational data and groundwater level data for the last 10 years obtained from CASGEM were easily imported into our EPIPHINY® platform for instantaneous analysis and to export to ArcGIS®, ArcScene®, and to link with our AQUILYTICS™ platform. Data trends and groundwater contour maps are easy to prepare for “snapshot” or time series analysis. With relatively little effort, our tools could be customized to become open source on behalf of any state and provide groundwater scientists, state and county employees, wellfield operators, and the general public sophisticated groundwater software tools. We are prepared to perform a demonstration project using all of our technologies and patent to create California’s first SMART WELLFIELDS™.</t>
  </si>
  <si>
    <t>Summit Envirosolutions, Inc. / Aquifer Resource Management, Inc.</t>
  </si>
  <si>
    <t>Data from wells in Groundwater Basin 5-21.64 North American (Sacramento area) were obtained from the CASGEM website (although the data could come from anywhere with a standard export function).</t>
  </si>
  <si>
    <t>www.epiphiny.com</t>
  </si>
  <si>
    <t>www.realgw.com</t>
  </si>
  <si>
    <t>https://drive.google.com/file/d/0B5n4IeHrVBinVlhwSkVWZ1l1Ukk/view?resourcekey=0-P4i2jPBw4GYnAwVu6dArCg</t>
  </si>
  <si>
    <t>- [Slides](https://drive.google.com/file/d/0B5n4IeHrVBinMGxtcVp0M1YtbDQ/view?resourcekey=0-fDKdS5WlG96ZJQZpvABRpA)
- [Project Repository](https://bayesimpact.github.io/water/)
- [Project Website](https://github.com/bayesimpact/water)</t>
  </si>
  <si>
    <t>Alex Nisnevich, Mehdi Jamei, Kirtan Upadhyaya, Everett Wetchler</t>
  </si>
  <si>
    <t>- [Slides](https://drive.google.com/file/d/0B5n4IeHrVBinMGxtcVp0M1YtbDQ/view?resourcekey=0-fDKdS5WlG96ZJQZpvABRpA)
- &lt;https://bayesimpact.github.io/water/&gt;
- &lt;https://github.com/bayesimpact/water&gt;</t>
  </si>
  <si>
    <t>Water is a scarce and restricted commodity and it has to be managed as such. Inspired by personal finance applications such as Mint and Level, and powered by machine learning techniques, we have created a proof-of-concept application, WaterBudget, to assist water districts to manage and plan their water usage and conservation plans. By analyzing the historical water usage patterns in each district, WaterBudget predicts total monthly and annual water usage, and compares it to the set target. The water usage prediction allows water districts to be proactive and implement necessary water conservation measures to ensure reaching the water conservation targets. In the prototype we've developed, the targets set by the State (2015) were used, however, in practice, they could be set by local administrations too. In addition to budgeting and planning purposes, this application allows the residents to easily follow their respective water suppliers' performance in water conservation.</t>
  </si>
  <si>
    <t>Bayes Impact</t>
  </si>
  <si>
    <t>•Urban Water Supplier Report Dataset
 •California Environmental Health Tracking Program (CEHTP) Drinking Water Systems Geographic Reporting Tool
 •Water supplier PWD ID master list from CA Department of Water Resources</t>
  </si>
  <si>
    <t>https://bayesimpact.github.io/water/</t>
  </si>
  <si>
    <t>https://github.com/bayesimpact/water</t>
  </si>
  <si>
    <t>https://drive.google.com/file/d/0B5n4IeHrVBinMGxtcVp0M1YtbDQ/view?resourcekey=0-fDKdS5WlG96ZJQZpvABRpA</t>
  </si>
  <si>
    <t>Open Source</t>
  </si>
  <si>
    <t>Automated Water Resource Sustainability Management</t>
  </si>
  <si>
    <t>- [Slides](https://drive.google.com/file/d/0B5n4IeHrVBinRllSY004WFd4X0U/view?resourcekey=0-SblfcotEzjAQPVxJcYg1jQ)
- &lt;http://gswell.abbaroo.com/&gt;</t>
  </si>
  <si>
    <t>Without sufficient clean water, the California (and US) economy will suffer. Growing populations and an inability or unwillingness to encourage the public to alter dietary habits linked to water supplies will increase the demand for new technologies. In a white paper entitled [“Enhancing the Vision for Managing California’s Environmental Information”](http://deltacouncil.ca.gov/docs/enhancing-vision-managing-california-s-environmentalinformation), experts in environmental management acknowledge that more efficient tools are needed to reduce the life-cycle costs for managing water resources. Sensors have been cited as a key solution to rising assessment costs. However, data collection alone will not suffice, as the data will need to be appropriately collected, remotely transmitted, stored, processed, visualized and managed in a manner that allows for rapid automated responses to troubling issues.
To address the challenges described above, our team developed our Water Sustainability Platform (US Patent 8,892,221, Issued in Oz and NZ). More specifically, we merged classical hydraulic theory, Game Theory, automated sensing, and processing and response to instantly determine when unsustainable conditions arise. The platform automatically reports when groundwater extraction rates would result in basin overdraft, stream depletion or seawater intrusion. This system directly answers resource management questions that are not readily determined via any other method, as it calculates and reports the maximum sustainable extraction rate for every well in a hydrogeologic network and compares this to the measured extraction rates within the system. The platform is designed to monitor and automatically respond to ever-changing groundwater levels, stream flow rates, groundwater extractions, and hydrogeologic conditions and is ideal for permitting and planning purposes (e.g., determining whether a proposed well installation could potentially impair resources and habitat). In essence, integration of our Water Sustainability Platform can significantly reduce life-cycle costs for managing water resources while ensuring that key supply and environmental objectives are being met.</t>
  </si>
  <si>
    <t>Groundswell Technologies, Inc.</t>
  </si>
  <si>
    <t>Water level databases (e.g., DWR Water Data Library), groundwater extraction
 rate records, private and public level sensor and extraction meter networks.</t>
  </si>
  <si>
    <t>http://gswell.abbaroo.com/</t>
  </si>
  <si>
    <t>https://drive.google.com/file/d/0B5n4IeHrVBinRllSY004WFd4X0U/view?resourcekey=0-SblfcotEzjAQPVxJcYg1jQ</t>
  </si>
  <si>
    <t>CaDC Gittes Water Data Dictionary and Explorer</t>
  </si>
  <si>
    <t xml:space="preserve">- [Project Website](http://public.tableau.com/views/GITTES-viz/Dashboard2?:showVizHome=no#1)
- &lt;https://drive.google.com/open?id=0B5n4IeHrVBinN19LbklYa0NRaUU&gt; </t>
  </si>
  <si>
    <t>Honorable Mention</t>
  </si>
  <si>
    <t>Charles Fishman, in a New York Times op-ed commented that “Water is Broken. Data can Fix it” made the case that analytics and systems borrowed from the technology industry can come to the aid to water conservation efforts. Many others including the California Council of Science and Technology, the Western Governors Association, and the Delta Stewardship Council have called for improvements in our water data systems. 
 AB 1755 or The Open and Transparent Water Data Act is recent California legislation calls for the development of an Integrated water data platform to “help water managers operate California’s water system more effectively and help water users make informed decisions based on water availability and allocation”. In addition to catering to the water manager community, the Dodd bill also calls for the intended water data platform to “promote openness and interoperability of water data by making information accessible, discoverable, and usable by the public to foster entrepreneurship, innovation, and scientific discovery.”
 These are indeed lofty policy goals that require a coalition of the willing to come together, build common ground and work towards the future of water management California needs. In short there is a key need to develop tools to create and sustain shared understanding amongst various stakeholders. 
 The GITTES Water Data Dictionary and Water Data explorer is a bottom-up effort that attempts to cater to these needs and ensure that the focus of any digital effort is on the delivery of the vision laid out in AB 1755. To that end, this submission is a first step towards creating “protocols for data sharing, documentation, quality control, public access, and promotion of open-source platforms and decision support tools related to water data.”
 The Water Data Dictionary is a simple cataloging effort that carefully indexes all relevant water data sources into a single schema. It was developed keep agile development methodology in mind and continuously iterating towards continuous improvement. 
 Image: Methodology
 We adopt a concept called the Common Operational Picture to develop the Water Data explorer, a data visualization that is powered by the Water Data dictionary. The Common Operational Picture or COP is grounded in years of decision-science research as being a best-practice and effective tool often used in crisis and emergency management settings. The COP facilitates continuous situational awareness through the management of disparate and heterogeneous data to across the various that stakeholders, end-users and end-beneficiaries.
 Image: A Common operational picture visualization for CA Water Data
 We believe that the combination of the data practices, co-creation efforts, decision-making, and co-creation which have been put into practice here are enablers to fully realize and sustain the Integrated Water Data Platform that is called for in the Dodd Bill. This initial project uses Tableau technology so is not open source. It falls under the decision support category.</t>
  </si>
  <si>
    <t>California Data Collaborative (staffed by ARGO Labs 501c3 Nonprofit)</t>
  </si>
  <si>
    <t>https://docs.google.com/spreadsheets/d/13WHmztwBOjyCEuSNQd09nl2wIPXrAUbtqidpiNKR13k/edit#gid=1660645939</t>
  </si>
  <si>
    <t>http://public.tableau.com/views/GITTES-viz/Dashboard2?:showVizHome=no#1</t>
  </si>
  <si>
    <t>https://drive.google.com/open?id=0B5n4IeHrVBinN19LbklYa0NRaUU</t>
  </si>
  <si>
    <t>NA</t>
  </si>
  <si>
    <t>California Actual Evapotranspiration (CalETa) Mapping Program</t>
  </si>
  <si>
    <t xml:space="preserve">- [Slides](https://drive.google.com/open?id=0B5n4IeHrVBinT0o4ZVNrWHk5Vkk) 
- [Project Website](http://arcg.is/2h3CjYE)
- &lt;https://drive.google.com/open?id=0B5n4IeHrVBinR2VSOGJLeVpPZ0U&gt;
- &lt;https://github.com/gpaulFormation/CalETa&gt; 
- &lt;https://drive.google.com/open?id=0B5n4IeHrVBindGpGanJULUVPYjA&gt; </t>
  </si>
  <si>
    <t>Formation Environmental LLC developed a statewide actual evapotranspiration (ETa) dataset to support water resource planning and management efforts in California. CalETa provides an unprecedented daily, 30-meter spatial resolution, statewide ETa dataset (currently available from 2010 through present). This dataset is the result of a comprehensive image analysis framework that relies on publically available satellite earth observation data, local meteorological data, and open source algorithms. The core of the framework utilizes the Surface Energy Balance System (SEBS) algorithm. The peer reviewed SEBS model provides a detailed parameterization for the estimation of surface heat fluxes, producing consistent ETa estimates over a wide range of land use types. The framework, consisting of multiple components, provides a robust, economical, and efficient means to estimate ETa. Validation studies performed using on-the-ground measurements of ETa show an excellent relationship between measured and modeled data. CalETa fundamentally improves water resource management at every scale, with applications of use that include: (i) drought and water conservation planning, (ii) groundwater banking, (iii) groundwater sustainability planning and management, (iv) surface and groundwater modeling, (v) on-farm water management, (vi) water transfer planning and implementation, (vii) native, riparian and invasive plant community monitoring, and (viii) irrigation performance and land use planning. 
 There is a wide range of application for spatial ETa information, and the use of CalETa is transforming how water planning decisions are made throughout California. Examples of how this dataset is used include:
 1. To enhance the capability and improve water balance computation, the Department of Water Resources (DWR) is using this dataset in the California Central Valley Groundwater-Surface Water Simulation Model (C2VSim).
 2. DWR is using this dataset for monitoring, evaluating, and implementing the Sustainable Groundwater Management Act (SGMA) program.
 3. DWR was tasked by the Governor’s office to respond to several drought-related questions. This dataset was fundamental to informing statewide water planning efforts and developing water conservation objectives and metrics.
 4. The Nature Conservancy is evaluating the use of this dataset for long-term monitoring and impact assessment of restored and managed riparian habitat.
 5. This dataset is used to identify watersheds with high tree mortality as a result of drought and bark beetle infestation. Finding corresponds with the region identified by the U.S. Forest Service.
 6. The California Rice Commission used this dataset to quantify water transfers and rice fallowing in Sacramento Valley. 
 7. Water districts are using this dataset to implement, monitor, and quantify the effectiveness of fallowing and on-farm efficiency conservation programs.
 8. CalETa is used to support private companies in development of on-farm water conservation and irrigation scheduling tools.
 9. Water quality coalitions in the southern San Joaquin Valley are using this dataset as part of their Management Practices Evaluation Program, supporting efforts to protect groundwater quality by quantifying reduction in nitrate leaching. 
 10. The State Water Resource Control Board (SWRCB) is using this dataset to understand the water use of cannabis and prioritize its regulatory efforts.</t>
  </si>
  <si>
    <t>Formation Environmental LLC</t>
  </si>
  <si>
    <t>• Landsat program is publically available NASA/USGS data : http://earthexplorer.usgs.gov/
 • CIMIS is part of California open data portal: ftp://ftpcimis.water.ca.gov/pub2/
 • Spatial CIMIS is part of California open data portal: http://wwwcimis.water.ca.gov/SpatialData.aspx</t>
  </si>
  <si>
    <t>http://arcg.is/2h3CjYE</t>
  </si>
  <si>
    <t>https://drive.google.com/open?id=0B5n4IeHrVBinR2VSOGJLeVpPZ0U</t>
  </si>
  <si>
    <t>https://github.com/gpaulFormation/CalETa</t>
  </si>
  <si>
    <t>https://drive.google.com/open?id=0B5n4IeHrVBindGpGanJULUVPYjA</t>
  </si>
  <si>
    <t>https://drive.google.com/open?id=0B5n4IeHrVBinT0o4ZVNrWHk5Vkk</t>
  </si>
  <si>
    <t>Coping with the California Drought: 2014-2016</t>
  </si>
  <si>
    <t>Patricia Gonzales, Kim Quesnel, Newsha Ajami</t>
  </si>
  <si>
    <t>- [Slides](https://drive.google.com/open?id=0B5n4IeHrVBinT3NlRndpam85Y2c)
- [Stanford Water in the West Article](http://waterinthewest.stanford.edu/publications/coping-california-drought-2014-2016)
- [Project Repository](https://github.com/patriciagm4/ca-data-challenge)</t>
  </si>
  <si>
    <t>Our submission contains interactive visualizations that allow the user to explore how effectively California water utilities conserved water over the past 3 years, a critical period of historical drought. By visualizing and exploring the relationships between water conservation in 2014, 2015, and 2016 in almost 400 utilities from around the state, we provide an interesting perspective of the ongoing drought. For these visualizations, we define "conservation" and "water savings" as the difference in water production between a timeframe of interest in a given supplier's service area and its respective water production in 2013. This exploratory analysis includes statewide data to show overall water use trends, as well as data for each of the 10 hydrologic regions in California and individual utilities in those regions. The comparison between conservation efforts in 2014, 2015, and 2016 also provides insight on the responsiveness of different utilities to different incentives: a voluntary call for conservation in 2014, a state mandate in 2015, and the replacement of the state mandate by adjusted self-certified goals in 2016.
 Several key lessons can be drawn from these visualizations: (1) The reporting requirements put in place during the drought created an even platform for water utilities to keep track of important data, which in turn allows tools like this one to identify water use and conservation trends, drivers, and opportunities for enhanced water management at a variety of different scales. Further standardized tracking and reporting methods could facilitate the use of data for decision-making; (2) Water utilities collectively achieved significant water savings in the period between 2014 and 2016. While policies and regulations seem to have been significant drivers of water conservation throughout the state (e.g. higher water savings during the state mandate or in response to local watering restrictions), these visualizations show that water use and conservation are very site-dependent and utility-specific; (3) Many uncertainties remain about the human-water dynamics that made water savings possible between 2014 and 2016. A better understanding of local population behaviors towards water use, and responsiveness to different conservation incentives, could help water planners and managers tailor their conservation campaigns more effectively in the future, not only during drought, but also as a long-term water reliability strategy.</t>
  </si>
  <si>
    <t>Stanford University</t>
  </si>
  <si>
    <t>•Water conservation data: All water conservation data was obtained from the State Water Resources Control Board (SWRCB) Water Conservation Portal - Emergency Conservation Regulation, and pre-processed using the Pandas library in Python. Only utilities who were required to report to the SWRCB, and who had complete data for the summers of 2014, 2015, and 2016 (June-August) are included in this analysis. This includes a total of 378 utilities form around the state. We use summer months for comparison between different years. 
•Media data: Media data was retrieved by a novel open-source algorithm Articulate written in Python by our group. The algorithm uses Google Custom Search Engine API to retrieve and tally news articles that contain terms of interest over a specified time period. For this visualization project we show the number of articles that contain the term “California drought” or a combination of “California”,” drought(s)”, and water-related terms such as “water”, “snow”, or “rain.” Only articles from the following state and national newspapers (chosen for high circulation) are included: Wall Street Journal, New York Times, USA Today, Los Angeles Times, Sacramento Bee, Orange County Register, San Diego Union-Tribune, San Francisco Chronicle (SF Gate). 
•Google Trends data: Google Trends data is used as a metric of public interest. Google Trends is a free online tool that shows how often a word or term is searched forover a certain period. The number of searches is in relative terms, with the period with the most searches for that topic having a value of 100. For a comparison between media coverage and public interest, we extracted data for how often the term “California Drought” was entered into the Google search bar over the period July 2005- November 2016 within the state of California. Search frequencies were tallied at both monthly and weekly time scales.</t>
  </si>
  <si>
    <t>http://waterinthewest.stanford.edu/publications/coping-california-drought-2014-2016</t>
  </si>
  <si>
    <t xml:space="preserve">https://github.com/patriciagm4/ca-data-challenge </t>
  </si>
  <si>
    <t>https://drive.google.com/open?id=0B5n4IeHrVBinT3NlRndpam85Y2c</t>
  </si>
  <si>
    <t>Drought Resilience of California’s Power Supply</t>
  </si>
  <si>
    <t>- [Slides](https://drive.google.com/open?id=0B5n4IeHrVBincHlkbVVFUTJudTA) 
- &lt;https://drive.google.com/open?id=0B5n4IeHrVBinLWVlMFNpV05IV0U&gt; 
- &lt;https://drive.google.com/open?id=0B5n4IeHrVBinMjRiS1FLZUtLMmc&gt;</t>
  </si>
  <si>
    <t>The challenge facing us was how to evaluate and present the statewide impact of the drought and water supply curtailments on the ability of the disparate fleet of California power plants to generate reliable electricity. The Governor’s Office recognized that the State Water Resources Control Boards curtailment of water supplies from the Delta and dropping groundwater levels could impact availability of water supplies. In order to meet this challenge Energy Commission staff developed a data driven results oriented approach to evaluate if and where power plants could be impacted and what could be done to mitigate impacts to the California power supply.
 To achieve this goal, we summarized water supply and water use data for all Energy Commission jurisdictional power plants and other large power plants (100 total), which rely on various water supplies for operation. Tables and reports were produced from the data which included information on the following: 
 • The type of water supply (surface water, groundwater, or recycled water) and water supplier for each power plant. 
 • The average water use of each power plant.
 • The energy generation capacity and average annual capacity factor (a descriptor of annual electricity output).
 We summarized these key attributes and presented them on a map to add the spatial dimension of water and power distribution. Layered on this data, we added DWR’s GIS data showing land subsidence from groundwater withdrawal. These became the tools we used for informed decision making regarding drought emergency actions. An unexpected result of this effort was the demonstration that the power supply had significant drought resilience already built in, which would allow focused efforts in just several specific areas.
 Initial development of these tools was cumbersome because of the methods used to manage data from the Energy Commission Quarterly Energy and Fuels Report program (QFER). Once management saw the results of the data compilation they embraced further use and analysis for environmental performance and energy policy reports. To further enhance data acquisition and quality, staff is also revising regulations governing data reporting from power plant operators that will allow us to better analyze water supply reliability and drought resilience.</t>
  </si>
  <si>
    <t>California Energy Commission</t>
  </si>
  <si>
    <t>•California Energy Commission Quarterly Fuels and Energy Reporting (QFER) data
 •California Department of Water Resources GIS layers from ‘Groundwater Sustainability Program – Draft Strategic Plan’, March 9, 2015</t>
  </si>
  <si>
    <t>https://drive.google.com/open?id=0B5n4IeHrVBinLWVlMFNpV05IV0U</t>
  </si>
  <si>
    <t>https://drive.google.com/open?id=0B5n4IeHrVBinMjRiS1FLZUtLMmc</t>
  </si>
  <si>
    <t>https://drive.google.com/open?id=0B5n4IeHrVBincHlkbVVFUTJudTA</t>
  </si>
  <si>
    <t>Sustainable Floodplain Habitat Finder</t>
  </si>
  <si>
    <t>- [Slides](https://drive.google.com/file/d/0B5n4IeHrVBinY1JIOFlxUkNXajQ/view?resourcekey=0-qQlutJZZ07waa9rqy1hPHQ)
- [Project Website](https://flowwest.shinyapps.io/flowwest_floodplain_habitat_finder/)</t>
  </si>
  <si>
    <t>Chinook salmon in California's Central Valley are struggling to survive. During their epic migration from the ocean into the tributary streams draining the Central Valley, salmon contend with depleted streamflows, migration barriers, predators, degraded habitat, lack of nutrients, and a host of other challenges. Baby salmon are especially vulnerable during their long migration from the spawning grounds downstream to the ocean. Additional floodplain habitat may be the key to restoring dwindling salmon populations; by providing food, cover from predators; and higher rates of survival. But - restoring floodplain habitat requires a careful balance of current and future streamflow conditions, groundwater basin conditions, and, of course, baby salmon migration patterns.
 Our entry is an open source combination of data visualization and decision support tools for water resources and fishery managers who must constantly make difficult decisions about how to allocate streamflows to meet a wide range of human and ecosystem needs. Our tool is an R Shiny application that incorporates the Leaflet map service, Plotly charting tools, the National Oceanic and Atmospheric Administration River Forecast web service, and R-based statistical evaluation interfaces to evaluate, in a real-time data-driven way, the relative potential for floodplain habitat creation at a given site.</t>
  </si>
  <si>
    <t>1) California Statewide Groundwater Elevation Monitoring (CASGEM) Program
 2) Water Data Library (WDL)
 3) California Data Exchange Center (CDEC)
 4) USGS Surface-Water Data for California
 5) California Nevada River Forecast Center (http://www.cnrfc.noaa.gov/espTrace.php?id=SHDC1) 
 6) USFWS Juvenile Salmon Rotary Screw Trap Counts (http://www.cbr.washington.edu/sacramento/data/query_redbluff_daily.html)</t>
  </si>
  <si>
    <t>https://flowwest.shinyapps.io/flowwest_floodplain_habitat_finder/</t>
  </si>
  <si>
    <t>https://drive.google.com/file/d/0B5n4IeHrVBinY1JIOFlxUkNXajQ/view?resourcekey=0-qQlutJZZ07waa9rqy1hPHQ</t>
  </si>
  <si>
    <t>Visualization and Analysis for Water Resources Time-Series Data</t>
  </si>
  <si>
    <t>- [Slides](https://drive.google.com/open?id=0B5n4IeHrVBindXR5bGt4cXkwbkE) 
- &lt;https://drive.google.com/open?id=0B5n4IeHrVBinYWR6SC16cEFHQkk&gt;</t>
  </si>
  <si>
    <t>Today’s technology facilitates rapid data collection and the ability to store copious amounts of data. This data, which includes multi-variate attributes and can span many years, contains a wealth of information, but transforming this vast amount of data into actionable results can be problematic. Most 2D and 3D visualization techniques are adequate for basic analysis but fall short when one needs to analyze both conspicuous and subtle data patterns over time.
 These expansive datasets can be visualized by harnessing the power of the unique raster time-series visualization method. This method reveals trends across the entire temporal spectrum, from seconds to weeks to years. By viewing water resource datasets through this new lens, a more thorough understanding of historic, current and future water resource challenges is achieved. The following project demonstrates the benefits of the raster time-series visualization approach.</t>
  </si>
  <si>
    <t>Visual Data Analytics / TGAEC / Golden Software</t>
  </si>
  <si>
    <t>Lake Shasta daily volume (CA Water, USGS, USBR)
 http://cdec.water.ca.gov/cgi-progs/queryDaily?SHA
 http://waterdata.usgs.gov/ca/nwis/dv/?site_no=11370000&amp;agency_cd=USGS&amp;amp;referred_module=sw
 Leavitt Lake (NRCS)
 http://wcc.sc.egov.usda.gov/nwcc/site?sitenum=574
 Sacramento River below Wilkins Slough near Grimes, CA (USGS)
 http://waterdata.usgs.gov/nwis/dv/?site_no=11390500&amp;agency_cd=USGS&amp;amp;referred_module=sw
 http://waterwatch.usgs.gov/index.php?id=wwchart_rastergraph 
  Water Watch website input, Site Number = 11390500, Begin Year = 1970, End Year = 2015
 California Climate Divisions map (NOAA)
 http://www.cpc.ncep.noaa.gov/products/analysis_monitoring/regional_monitoring/CLIM_DIVS/california.gif
 PHDI dataset (NOAA)
 https://www1.ncdc.noaa.gov/pub/data/cirs/climdiv/climdiv-pdsidv-v1.0.0-20161104
 Strong/very strong El Nino events (based on NOAA data)
 http://ggweather.com/enso/oni.htm
 Dates derived from: http://www.cpc.noaa.gov/products/analysis_monitoring/ensostuff/ensoyears.shtml
 Chinook and striped bass fisheries datasets (CA Dept of Fish and Wildlife)
 https://www.wildlife.ca.gov/Conservation/Delta/Salvage-Monitoring
 Multiple environmental datasets for red time example
 Concept data from Dr. S. Moore, NOAA, Northwest Fisheries Science Center, Seattle WA. Available upon request.</t>
  </si>
  <si>
    <t>https://drive.google.com/open?id=0B5n4IeHrVBinYWR6SC16cEFHQkk</t>
  </si>
  <si>
    <t>https://drive.google.com/open?id=0B5n4IeHrVBindXR5bGt4cXkwbkE</t>
  </si>
  <si>
    <t>An Automated Water Resources Tracking System: Near Real-Time Decision Support for Water and Wetland Managers</t>
  </si>
  <si>
    <t>- [Slides](https://drive.google.com/file/d/0B5n4IeHrVBinWnN2eWVHM1g4aFE/view?resourcekey=0-HcUn236odEPuW98wyUUuyQ)
- [Project Website](http://data.pointblue.org/apps/autowater/)
- [Project Repository](https://github.com/dm00dy/autowater)</t>
  </si>
  <si>
    <t>Competition for water is likely to intensify as California is projected to experience continued increases in demand due to population growth, more arid growing conditions, and reduced or modified water supply due to climate change. As water resources become increasingly limited, water use needs to be optimized across many competing demands while also promoting multiple-benefits. Though sophisticated water optimization models can be useful for tracking water volume allocations, how the results translate into habitat availability for wildlife and ecosystem services for people is not known. A framework is needed to better understand the spatial distribution of water in near real-time for managers to adapt to changing conditions on the landscape and to maximize the value of the water used.
 We are integrating remote sensing of satellite data, classification modeling, bioinformatics, optimization, and ecological analyses to develop an automated near real-time water resources tracking and decision-support system for the Central Valley of California. The system provides information on open surface water every 16-days and delineates between wetland types and flooded agriculture. Data are made freely available online for download 3-6 days post acquisition as well as through online summary and map visualization applications. Data are also summarized specifically for wetland wildlife habitats within federal and state management areas. These data will be used by water and wetland managers to enhance landscape scale coordination of limited water supplies for wildlife, particularly during drought. In our complete vision for this system, water managers will be able to get near-real time and forecasted recommendations for where to put water on the landscape to achieve multiple wildlife habitat targets but to also provide ecosystem services (e.g. groundwater recharge). 
 Our innovative system has applications for water management in the Central Valley to support people, places, and wildlife and is already being used for understanding the factors that drive variation in the distribution and abundance of water resources at multiple spatial and temporal scales. Specifically data generated as part of this system are being applied to assess the impact of the most recent drought in California, to understand the effect of disease vector control on water distribution, to quantify the groundwater recharge potential of current surface water management for wildlife, to develop an avian influenza risk map, and to identify where to put water and when on agricultural lands to benefit migratory birds.</t>
  </si>
  <si>
    <t>Point Blue Conservation Science</t>
  </si>
  <si>
    <t>• Landsat 8 OLI 
 (http://landsat.usgs.gov/landsat8.php)
 • National Agricultural Statistics Service Crop Data Layer 
 (https://www.nass.usda.gov/Research_and_Science/Cropland/SARS1a.php)
 • National Land Cover Database (NLCD)
 (http://www.mrlc.gov/)</t>
  </si>
  <si>
    <t>http://data.pointblue.org/apps/autowater/</t>
  </si>
  <si>
    <t>https://github.com/dm00dy/autowater</t>
  </si>
  <si>
    <t>https://drive.google.com/file/d/0B5n4IeHrVBinWnN2eWVHM1g4aFE/view?resourcekey=0-HcUn236odEPuW98wyUUuyQ</t>
  </si>
  <si>
    <t>Water Risk Monetizer</t>
  </si>
  <si>
    <t>- [Slides](https://drive.google.com/open?id=0B5n4IeHrVBinLTVnRkp1TmZ6TjA) 
- [Project Website](www.WaterRiskMonetizer.com)</t>
  </si>
  <si>
    <t>Demand for water is quickly outpacing supply, and demand for water, food and energy continues to increase. To be sustainable, business will need to find ways to operate – and grow – while dramatically reducing reliance of natural resources. The Water Risk Monetizer provides actionable information to help water users understand the impact of water scarcity to their business and quantify those risks in financial terms to inform decisions that enable growth. The Water Risk Monetizer provides directional guidance in the form of a risk-adjusted cost of water, a monetary estimate of the full value of water at a facility level based on what water would cost if supply and demand were accurately reflected. The Water Risk Monetizer also examines the potential revenue at risk to a facility, estimating the amount and likelihood of the revenue that could potentially be lost at a facility due to the impact of water scarcity on operations.
 Applicable to any industry, the Water Risk Monetizer builds the business case for water stewardship. The tool can be used by business, agricultural and public water users to assess risk, enhance enterprise strategy or improve sustainable performance at a site level. Providing water users with an understanding of the full value of water will support investments to reduce water use and improve water reliability throughout California. This entry is in the non-open source / decision support, data sharing and information communication tools category.</t>
  </si>
  <si>
    <t>Ecolab and Trucost</t>
  </si>
  <si>
    <t>• Alcamo, J., Döll, P., Henrichs, T., Kaspar, F., Lehner, B., Rösch, T. &amp; Siebert, S. (2003) Development and testing of the WaterGAP 2 global model of water use and availability. Hydrol. Sci. J. 48(3), 317-337.
 • Data.worldbank.org (2014). Data | The World Bank. [online] Available at: http://data.worldbank.org/.
 • Fao.org (2014). AQUASTAT database Glossary Search. [online] Available at: http://www.fao.org/nr/water/aquastat/data/glossary/search.html?lang=en.
 • Fao.org (2014). AQUASTAT database. [online] Available at: http://www.fao.org/nr/water/aquastat/data/query/.
 • Frederick, K. and Vandenberg, T. (1997). Economic values of freshwater in the United States. Resources for the future. [online] Available at: http://rff.org/RFF/Documents/RFF-DP-97-03.pdf.
 • Gassert, F., M. Landis, M. Luck, P. Reig, and T. Shiao. 2014. “Aqueduct Global Maps 2.1.” Working Paper. Washington, DC: World Resources Institute. Available online at http://www.wri.org/sites/default/files/Aqueduct_Global_Maps_2.1.pdf. 
 • Globalwaterintel.com (2014). Home: Global Water Intelligence. [online] Available at: http://www.globalwaterintel.com/. 
 • Gray, S. and Young, R. (1974). The economic value of water for waste dilution: Regional forecasts to 1980.Journal (Water Pollution Control Federation), pp.1653-1662.
 • Imf.org (2014). IMF Data and Statistics. [online] Available at: http://www.imf.org/external/data.htm. 
 • Loomis, J. (1996). The Economic Value of Instream Flow: Methodology and Benefit Estimates for Optimum Flows. Journal of Environmental Management, 32(2), 441-447.
 • Merritt, L. and Mar, B. (1969). Marginal values of dilution waters. Water Resources Research, 5(6), pp.1186-1195.
 • Moncur, J. and Pollock, R. (1988). Scarcity rents for water: A valuation and pricing model. Land Economics, pp.62-72.
 • Moran, D. and Dann, S. (2008). The economic value of water use: Implications for implementing the Water Framework Directive in Scotland. Journal of Environmental Management, 87(3), pp.484-496.
 • Parilla, J., Leal Trujillo, J., Berube, A. and Ran, T. (2014). Global Metro Monitor An Uncertain Recovery. [online] Available at: http://www.brookings.edu/research/reports2/2015/01/22-global-metro-monitor. 
 • R Development Core Team (2012). Vienna: R: A language and environment for &gt; statistical computing.
 • Trucost (2015). Environmentally Extended Input-Output Model. London: Trucost.
 • Unstats.un.org (2015). National Accounts Main Aggregates Database. [online] Available at: http://unstats.un.org/unsd/snaama/introduction.asp. 
 • Water.epa.gov (2014). Importance of Water to the United States Economy | Importance of Water | US EPA. [online] Available at: http://water.epa.gov/action/importanceofwater/. 
 • Waterriskfilter.panda.org (2014). The Water Risk Filter. [online] Available at: http://waterriskfilter.panda.org/. 
 • World Business Council for Sustainable Development (WBCSD), (2013), Business guide to water valuation [online] Available at: www.wbcsd.org/contentwbc/download/430/4502. 
 • Wolchover, N. (2014) What is a Drought? [online] Available at: http://www.livescience.com/21469-drought-definition.html. 
 • WRI (2015). Aqueduct. [online] Available at: http://wri.org/our-work/project/aqueduct.</t>
  </si>
  <si>
    <t>www.WaterRiskMonetizer.com</t>
  </si>
  <si>
    <t>https://drive.google.com/open?id=0B5n4IeHrVBinLTVnRkp1TmZ6TjA</t>
  </si>
  <si>
    <t>The Watershed Analyst</t>
  </si>
  <si>
    <t>- [Slides](https://drive.google.com/open?id=0B5n4IeHrVBinVEF4OWtrRFZaRHc) 
- [Project Website](http://climate.calcommons.org/tbc3/sf-bay-watershed-analyst)
- [Tutorial Video](https://vimeo.com/190052456)</t>
  </si>
  <si>
    <t>The Watershed Analyst is an online graphical interface that makes a complex and powerful dataset useful for water and biodiversity resource managers. The Watershed Analyst enables improved understanding of changes in climate and hydrologic patterns in watersheds for purposes such as: evaluating threats to water supply and biodiversity, planning for future extremes (drought and flood events), and prioritizing watershed restoration action. With the Watershed Analyst users can compare modeled future impacts of climate change to historic patterns for a chosen watershed and across watersheds, and create dynamic graphs and summaries to use in reports and projects. Graphical outputs include: 1) an annual Time Series Graph that allows exploration of annual patterns as well as longer-term trends; 2) a dynamic “Water Balance Diagram” that presents all components of the water balance to deepen understanding of watershed function on an annual basis or broader time scales; and 3) monthly plots of individual variables for direct comparisons of historical and projected future conditions. The graphs and data can be downloaded for further custom analyses or aggregation into larger watersheds by advanced users. The Watershed Analyst is currently in beta release focusing on the San Francisco Bay Area, with the plan to refine and expand the tool for hydrologic California.
 The underlying data set is the California Basin Characterization Model (BCM), a hydrologic model developed by the USGS California Water Science Center that calculates water balance on a monthly time step using precipitation, temperature, topography, soils, and bedrock geology. 270m resolution outputs include the components of a watershed's water balance: surface runoff, groundwater recharge, actual evapotranspiration, soil storage, and climatic water deficit. 18 climate futures are available, chosen to represent the full range of responses from more than 100 climate model and emission scenario combinations. The BCM is being used by numerous researchers and managers across California as a basis for evaluating the impacts of projected change and as an input to biogeographic modeling, including state agencies such as California Department of Water Resources and California Department of Fish and Wildlife, and regional resource managers such as Sonoma County Water Agency and US Fish &amp; Wildlife Service Refuges. For more information on the BCM, see http://climate.calcommons.org/bcm.</t>
  </si>
  <si>
    <t>Point Blue Conservation Science / USGS</t>
  </si>
  <si>
    <t>• California Basin Characterization Model (BCM), http://climate.calcommons.org/bcm
 • Planning Watersheds from the CalWater 2.2.1 Watershed Boundaries, http://frap.cdf.ca.gov/data/frapgisdata-sw-calwater_download</t>
  </si>
  <si>
    <t>http://climate.calcommons.org/tbc3/sf-bay-watershed-analyst</t>
  </si>
  <si>
    <t>https://vimeo.com/190052456</t>
  </si>
  <si>
    <t>https://drive.google.com/open?id=0B5n4IeHrVBinVEF4OWtrRFZaRHc</t>
  </si>
  <si>
    <r>
      <rPr>
        <rFont val="Calibri"/>
        <color rgb="FF1155CC"/>
        <sz val="11.0"/>
        <u/>
      </rPr>
      <t>map.waterauditca.org</t>
    </r>
    <r>
      <rPr>
        <rFont val="Calibri"/>
        <color rgb="FF000000"/>
        <sz val="11.0"/>
        <u/>
      </rPr>
      <t xml:space="preserve"> </t>
    </r>
  </si>
  <si>
    <t>- [Slides](https://drive.google.com/open?id=0B5n4IeHrVBinSzZWV1VQUl93NXM) 
- &lt;map.waterauditca.org&gt;</t>
  </si>
  <si>
    <t>This web map (under active development) combines information about NID-regulated reservoirs with post-API processed data from USGS stream gauges (future features are discussed). This will allow our organization (and potentially regulators) to monitor reservoir operators' compliance with FGC 5937. The application is a web-based version of desktop software already used by the organization to advance ecological conservation efforts. Weaknesses of existing stream flow measurement infrastructure is illustrated, and the application addresses these issues by only designating gauges as a "active" if data is reported. The significance of accurate stream flow measurements to ecological conservation is discussed.
 This is a simple data visualization which provides insight into water resource monitoring in the State, and will be used by our organization to support decisions regarding future litigation. Future data sharing objectives are discussed, but largely concern filling information gaps identified through the application or publishing previously-unpublished public records.
 The datasets implemented in this Beta are the National Inventory of Dams (Army Corps of Engineers) and the USGS Instantaneous Values REST Web Service. (Datasets which informed development of this work but are not implemented include: NOAA's Essential Fish Habitat GIS Shapefiles, USGS's Hydrologic Unit Maps, the California Data Exchange Center, and the California DFG's BIOS View, among others.)</t>
  </si>
  <si>
    <t>Water Audit California</t>
  </si>
  <si>
    <t>The datasets implemented in this Beta are the National Inventory of Dams (Army Corps of Engineers) and the USGS Instantaneous Values REST Web Service. (Datasets which informed development of this work but are not implemented include: NOAA's Essential Fish Habitat GIS Shapefiles, USGS's Hydrologic Unit Maps, the California Data Exchange Center, and the California DFG's BIOS View, among others.)</t>
  </si>
  <si>
    <t>map.waterauditca.org</t>
  </si>
  <si>
    <t>https://drive.google.com/open?id=0B5n4IeHrVBinSzZWV1VQUl93NXM</t>
  </si>
  <si>
    <t>CaDC Efficiency Explorer</t>
  </si>
  <si>
    <t>- [Slides](https://drive.google.com/open?id=0B5n4IeHrVBinck9rcy1qM3hESHc)
- [Project Repository](https://github.com/California-Data-Collaborative/efficiency-explorer)</t>
  </si>
  <si>
    <t>The Governor’s May 16 Executive Order (B-37-16) calls for the development of water use targets customized to the unique conditions of each urban water agency as part of a new, permanent efficiency framework. The CaDC Efficiency Explorer is an interactive dashboard that supports the California water community in analyzing the impact of those new standards through a easy to use scenario explorer tool.
 The video in the attached powerpoint demonstrates the Efficiency Explorer’s functionality at an inter-agency level and at an intra-agency level.</t>
  </si>
  <si>
    <t>California Data Collaborative (and 501c3 Nonprofit ARGOLabs)</t>
  </si>
  <si>
    <t>• Open
  o State Water Board Monthly Reporting Archive (Implemented)
  o CIMIS Station Reports (Implemented)
  o NAIP Imagery (Planned)
 • (Currently) Private
  o Intra-Agency Data
 Note: Though the intra-agency tool requires private data, since the Efficiency Explorer is open-source, the only barrier to an agency deploying for internal usage is preliminary data processing.</t>
  </si>
  <si>
    <t>https://github.com/California-Data-Collaborative/efficiency-explorer</t>
  </si>
  <si>
    <t>https://drive.google.com/open?id=0B5n4IeHrVBinck9rcy1qM3hESHc</t>
  </si>
  <si>
    <t>Water Resource Visualization and Decision Support Tool Proof of Concept Design</t>
  </si>
  <si>
    <t xml:space="preserve">- [Slides](https://drive.google.com/open?id=0B5n4IeHrVBinakZPdlM2WlVaelk)
- &lt;https://drive.google.com/open?id=0B5n4IeHrVBinUDI2T1ZteEVtSUE&gt; </t>
  </si>
  <si>
    <t>We designed and prototyped an integrated water data modeling, visualization, and decision support tool as an example of how such tools can:
 • Enhance understanding of current and projected state-wide water demand in various scenarios
 • Identify possible water conservation and supply tactics to minimize risks to the agricultural industry 
 • Improve stakeholder engagement and communication 
 • Support water policy planning and decision making
 While our prototype demonstrates effective dashboard functionality and design using placeholder data, we’ve also outlined related datasets and a rapid prototyping approach that could be used for further development.</t>
  </si>
  <si>
    <t>Deloitte</t>
  </si>
  <si>
    <t>Documents\18_CA_Water Management_Data Details_12052016_vF.XLSX</t>
  </si>
  <si>
    <t>https://drive.google.com/open?id=0B5n4IeHrVBinUDI2T1ZteEVtSUE</t>
  </si>
  <si>
    <t>https://drive.google.com/open?id=0B5n4IeHrVBinakZPdlM2WlVaelk</t>
  </si>
  <si>
    <t>Sacramento River Watershed Data Portal</t>
  </si>
  <si>
    <t>- [Slides](https://drive.google.com/open?id=0B5n4IeHrVBinWXFVdjctTW5DNTQ) 
- [Project Website](srwp.opennrm.org)
 username: guest@srwp.org
 password: srwp</t>
  </si>
  <si>
    <t>The Sacramento River is the largest river and watershed system in California. This 27,000-square mile basin drains the eastern slope of Shasta, the western slopes of the Cascades and the northern portion of the Sierra Nevada and runs 31% of the state’s total surface runoff. The Sacramento River Basin provides drinking water for millions, supplies farmers with water for California’s agriculture and is the lifeblood for hundreds of wildlife species including four runs of Chinook salmon. 
 To help successfully manage this dynamic and diverse system, 34 North was tasked with a major data aggregation and software development effort in order to help inform stakeholders with accurate and timely information. The SRWP data platform is used for key management issues including:
 ü Collaborative resource management
 ü Salmon/steelhead passage and habitat
 ü Wild trout/native fish
 ü Forest health/fuels management
 ü Aquatic and riparian habitat
 ü Water quality
 ü Water supply
 ü Flood management
 ü Open space and land conservation
 ü Erosion and natural stream function
 ü Invasive species
 ü Temperature management</t>
  </si>
  <si>
    <t>34 North and Sacramento River Watershed Program</t>
  </si>
  <si>
    <t>1. The Department of Water Resources (DWR) Division of Environmental Services’ (DES) Monitoring Data
 2. National Water Information System
 3. Sacramento Coordinated Monitoring Program - Programs
 4. California Environmental Data Network
 5. California Data Exchange Network
 6. Fisheries
 7. 200 GIS Layers covering all aspects of water, infrastructure and species
 8. Volunteer water monitoring</t>
  </si>
  <si>
    <t>srwp.opennrm.org
 username: guest@srwp.org
 password: srwp</t>
  </si>
  <si>
    <t>https://drive.google.com/open?id=0B5n4IeHrVBinWXFVdjctTW5DNTQ</t>
  </si>
  <si>
    <t>Resilient Community Toolkit for Drought Response</t>
  </si>
  <si>
    <t xml:space="preserve">- [Slides](https://drive.google.com/open?id=0B5n4IeHrVBinOWl2aGs1aWNBc1U) 
- &lt;http://arcg.is/2g1XCK7&gt; </t>
  </si>
  <si>
    <t>How might we help empower and activate communities to respond to the California drought? 
 The *Resilient Community Toolkit for Drought Response* is a solution that makes it easier for all stakeholders to leverage too often dispersed resources.</t>
  </si>
  <si>
    <t>Census, Department of Energy, NASA and others</t>
  </si>
  <si>
    <t>http://arcg.is/2g1XCK7</t>
  </si>
  <si>
    <t>https://drive.google.com/open?id=0B5n4IeHrVBinOWl2aGs1aWNBc1U</t>
  </si>
  <si>
    <t>Water Supply App</t>
  </si>
  <si>
    <t>Kylie Pace</t>
  </si>
  <si>
    <t>- [Slides](https://drive.google.com/file/d/0B5n4IeHrVBinWXBxa2lCSkZ1dlk/view?resourcekey=0-oKk-NdHuG7_7FsvExBIIgg)
- [Project Repository](http://github.com/kyliepace/waterChallenge)
- [Project Website](http://kyliepace.github.io/waterChallenge)</t>
  </si>
  <si>
    <t>The project title is Water Supply App. It uses a json object created from the [State Water Resources Control Board's Water Rights data](http://www.waterboards.ca.gov/waterrights/water_issues/programs/ewrims/index.shtml), USGS StreamStats data, and USGS 1:1,000,000-scale streams to facilitate the creation of a water supply report. The latter two datasets are accessed via USGS APIs (streamstats and tracer). Although the base mapping service is through esri's javascript api, no services were used that required payment to them.
 The app combines the steps that staff in the Division of Water Rights take to create a water supply report, which is part of the water availability analysis performed for new appropriative water right proposals. The user selects the proposed point of diversion and USGS Tracer finds the downstream flowline to the Pacific Ocean. The user then selects which existing water rights near the flowline to include in the analysis. The app delineates a watershed at each existing water right diversion point and generates a table that shows two pieces of information the user would otherwise have to calculate in Excel: the area of each watershed, and the sum of all existing water right diversions within that watershed. We think this has potential to save staff significant time in calculating water supply, especially if riparian rights' statements of diversion and use could be included in the SWRCB dataset.
 This demo version filters water rights for active appropriative rights, but future versions could offer more filter functionality, such as the diversion season. Also, this demo is strictly a front-end project, but ideally the server would send the finished table to the user for download so that the rest of the water availability analysis can be completed.</t>
  </si>
  <si>
    <t>See description</t>
  </si>
  <si>
    <t>http://kyliepace.github.io/waterChallenge</t>
  </si>
  <si>
    <t>http://github.com/kyliepace/waterChallenge</t>
  </si>
  <si>
    <t>https://drive.google.com/file/d/0B5n4IeHrVBinWXBxa2lCSkZ1dlk/view?resourcekey=0-oKk-NdHuG7_7FsvExBIIgg</t>
  </si>
  <si>
    <t>West Valley College California Water Data Challenge</t>
  </si>
  <si>
    <t>- [Slides](https://drive.google.com/open?id=0B5n4IeHrVBinZmJjRHFZdTFrcmc)
- [Project Website](http://westvalleycollegegeospatial.weebly.com)</t>
  </si>
  <si>
    <t>It is our hope this helps tell the water story in some small way. This project highlights the following
 areas:
 Ground water well data
 Evapotranspiration
 Precipitation 
 Reservoir Storage 
 Critical Habitat loss due to Drought
 Steelhead and Stream Flow</t>
  </si>
  <si>
    <t>West Valley College</t>
  </si>
  <si>
    <t>Original Photographs by Chris Cruz
 Murrieta Falls by Eric Lynch
 http://cdec.water.ca.gov/cdecstation/
 CDWR Well Data: https://d3.water.ca.gov/owncloud/index.php/s/Tj6bqBXjD5NNwcc&lt;https://urldefense.proofpoint.com/v2/url?u=https-3A__d3.water.ca.gov_owncloud_index.php_s_Tj6bqBXjD5NNwcc&amp;d=DgMCaQ&amp;c=tfV1y7VjMpp2c1x3NJOKE90M8g-mEaV1iV68RN7jMhE&amp;r=6hm-K3IoilyyoWjHeRPlqgs7oc84IY_v4W2q67v9iYc&amp;m=tJcPBiAnEcLoWgG-yj7aKfr_miCb0effNaqEDqc9KC0&amp;s=HsPoEog3puBGcm8y7puOmErm5BA3NRiVpI3sB91bfbM&amp;e=&gt;
 ESRI CA County Shapefile: http://www.arcgis.com/home/item.html?id=2f227372477d4cddadc0cd0b002ec657&lt;https://urldefense.proofpoint.com/v2/url?u=http-3A__www.arcgis.com_home_item.html-3Fid-3D2f227372477d4cddadc0cd0b002ec657&amp;d=DgMCaQ&amp;c=tfV1y7VjMpp2c1x3NJOKE90M8g-mEaV1iV68RN7jMhE&amp;r=6hm-K3IoilyyoWjHeRPlqgs7oc84IY_v4W2q67v9iYc&amp;m=tJcPBiAnEcLoWgG-yj7aKfr_miCb0effNaqEDqc9KC0&amp;s=UYfhbM8FykxgA7sbwrjrUstH5qUjsd3KIVjp8MjczJ4&amp;e=&gt;
 Citation_Information:
 Originator:
 USDA-FSA-APFO
 Publication_Date: 2009/2012/2016
 Title: USDA-APFO National Agricultural Inventory Project
 Drought layer: http://droughtmonitor.unl.edu/MapsAndData/GISData.aspx
 Critical Habitat layer: http://ecos.fws.gov/ecp/report/table/critical-habitat.html</t>
  </si>
  <si>
    <t>http://westvalleycollegegeospatial.weebly.com</t>
  </si>
  <si>
    <t>https://drive.google.com/open?id=0B5n4IeHrVBinZmJjRHFZdTFrcmc</t>
  </si>
  <si>
    <t>Team Athena Intelligence</t>
  </si>
  <si>
    <t xml:space="preserve">- [Slides](https://drive.google.com/open?id=0B5n4IeHrVBinTU1vcnZZODNKSVk) 
- [Project Website](http://project-athena.com/ca-water-data-challenge) </t>
  </si>
  <si>
    <t>Our submission is a non-opensource Data Visualization and Insight that combines data from dozens of agencies from various public sources to visualize the connections between water sources (reservoirs, dams), water distribution (aqueducts, canals, rivers &amp; streams) and water utilization (hydro electric facilities). 
 In the dashboard, the data can be "pivoted" by clicking on various spatially displayed data. Click on the hydro electric facility and the specific reservoirs, canals and streams associated with the facility are displayed, along with month to month data related to storage status of the associated reservoirs.</t>
  </si>
  <si>
    <t>Athena Intelligence, Inc</t>
  </si>
  <si>
    <t>CDEC stations and measured data via api
 USGS stations and measured data via api
  (measurements from above stations include Reservoir Storage (af), Streamflow and Riverstage from 2000 to 2016)
 CA reservoirs (specific to State Water Project)
 CA Water Course Information (dams, aqueducts, rivers, streams, pump stations) from CA SWP Operational Reports
 CA Hydroelectric Station data</t>
  </si>
  <si>
    <t>http://project-athena.com/ca-water-data-challenge</t>
  </si>
  <si>
    <t>https://drive.google.com/open?id=0B5n4IeHrVBinTU1vcnZZODNKSVk</t>
  </si>
  <si>
    <t>Dynamic Surface Water Monitoring (DSWM)</t>
  </si>
  <si>
    <t>- [Slides](https://drive.google.com/open?id=0B5n4IeHrVBinLXlRN3VjNGwwTVk)
- &lt;https://drive.google.com/open?id=0B5n4IeHrVBinUGN0bm1HLUhSa1E&gt;
- &lt;https://drive.google.com/open?id=0B5n4IeHrVBinbVhGOUh6VTNRM28&gt;</t>
  </si>
  <si>
    <t>Our team has developed a proof of concept project (1) Fully Open Sourced to assist
 in (2) Decision Support, Data Sharing, and Information Communication Tools. The
 objective with this proposal is to framework to implement a Same-time monitoring
 network to produce an endless number of advantages for purpose of water
 accountability. With this baseline network design discussed, collaborating agencies
 could plug-and-play working theories for optimal Water Resources Management
 practices with an ability to validate accuracy to a fine degree.
 In our proof of concept, we evaluation Shasta Dam station approximately 10 miles
 of river length north of the Keswick Reservoir Station. In order to compare the
 discrepancies between stations, we used the following two dataset sources:
 􀀀 California Data Exchange Center (CDEC) – US Bureau of Reclamation,
 Department of Water Resources, and Water Quality
 􀀀 National Water Quality Monitoring Council (NWQMC)– USGS NWIS and
 BioData, EPA STORET, and USDA-ARS STEWARDS through a single search
 interface
 Below is an outline of the technical report used for our standalone document
 submission. We have also attached the requested Power-point, and Working Excel
 Spreadsheet that has an output less powerful, but relatively similar to R-Studio.</t>
  </si>
  <si>
    <t>SWRCB / UC Davis</t>
  </si>
  <si>
    <t>https://drive.google.com/open?id=0B5n4IeHrVBinUGN0bm1HLUhSa1E</t>
  </si>
  <si>
    <t>https://drive.google.com/open?id=0B5n4IeHrVBinbVhGOUh6VTNRM28</t>
  </si>
  <si>
    <t>https://drive.google.com/open?id=0B5n4IeHrVBinLXlRN3VjNGwwTVk</t>
  </si>
  <si>
    <t>Stream Monitor App</t>
  </si>
  <si>
    <t>- [Slides](https://drive.google.com/open?id=0B5n4IeHrVBinbEl5NHFIVUhIM0E)</t>
  </si>
  <si>
    <t>Our project is the Stream Monitor App, which allows people to “subscribe” to specific rivers, and revive alerts when the river is forecasted to exceed a high or low-flow threshold. The app makes use of the 10 day river forecasts coming from the National Weather Service’s new National Water Model as its main data source. When users open the app, they are presented with a map of all the nation’s rivers, colored according to whether they are currently above or below their average flow for the present month. When users subscribe to a river, they can set various alert levels, and the app checks the National Water Model every hour, triggering an alert if the flow is forecasted to cross of of those levels at any point in the next ten days.
 This app allows concerned citizens to monitor the streams they care about, and understand the flow thresholds that define their hydrology. For example, if a user observes that a given stream has become too low for salmon to pass, they can use the app to check what flow rate corresponds to that threshold. They can check if the conditions are expected to persist or ameliorate, and set an alert so that next time the river is forecasted to drop down this low, they will receive 10 days warning. Water managers can use the app to examine forecasted water availability for withdrawals, dam operators can use it to forecast inflows and manage releases, and recreational water users can plan their next kayaking or fishing trip for when conditions are best.</t>
  </si>
  <si>
    <t>ESRI</t>
  </si>
  <si>
    <t>https://drive.google.com/open?id=0B5n4IeHrVBinbEl5NHFIVUhIM0E</t>
  </si>
  <si>
    <t>CaDC Rate Comparison tool</t>
  </si>
  <si>
    <t>Christopher Tull, Anudeep Vanjavakam, Monobina Mukherjee, Drew Atwater, Johnathan Cruz, Patrick Atwater</t>
  </si>
  <si>
    <t>- [Slides](https://drive.google.com/file/d/0B5n4IeHrVBinODNsWnpxLUQwRms/view?resourcekey=0-JrFW-I6y4YRQgYT00-Kw8g)
- [Project Repository](https://github.com/California-Data-Collaborative/RateComparison)</t>
  </si>
  <si>
    <t>With declining water sales, water managers have lost over $675 million of revenue in the current drought. The CaDC rate comparison tool provides a quick way to see the implications that a rate shift or a drought surcharge would have on revenue and typical customer bills. The tool quickly illustrates the impact of a shift before a utility hires a rate consultant and goes through a full, labor intensive Prop 218 process. 
 You can see a video demo of the tool in action [here](https://youtu.be/mYv-OOBGJ28).</t>
  </si>
  <si>
    <t>California Data Collaborative (staffed by 501c3 Nonprofit ARGO Labs)</t>
  </si>
  <si>
    <t>The tool is designed to be compatible with properly formatted customer billing data from any water utility. The only publicly available billing data that the authors are aware of is that provided by the City of Santa Monica ( https://data.smgov.net/Public-Services/Water-Usage/4nnq-5vzx ). A properly formatted subset of this data is included in the /data/ subdirectory of the project Github repository.</t>
  </si>
  <si>
    <t>https://github.com/California-Data-Collaborative/RateComparison</t>
  </si>
  <si>
    <t>https://drive.google.com/file/d/0B5n4IeHrVBinODNsWnpxLUQwRms/view?resourcekey=0-JrFW-I6y4YRQgYT00-Kw8g</t>
  </si>
  <si>
    <t>California Drought Dashboard</t>
  </si>
  <si>
    <t>- [Slides](https://drive.google.com/open?id=0B5n4IeHrVBindmhfNjZCTWpJMTA)
- [Project Repository](https://github.com/kklausmeyer/Drought_Dashboard)
- [Project Website](https://public.tableau.com/profile/kklausmeyer#!/vizhome/CaliforniaDroughtDashboard/Dashboard)</t>
  </si>
  <si>
    <t>During drought conditions, some of California’s native fish and other freshwater species do not get enough water to survive. In order to provide more water for fish and other species, The Nature Conservancy and other organizations can pay water users to keep the water in the streams and reservoirs rather than diverting it. Stream conditions vary across the state and over time, making it difficult to know where best to work. The California Drought Dashboard is an open source decision support tool that uses real-time open data on stream flow conditions to show the streams most stressed by drought. It also provides a Water for Fish tool that allows users to zero in on the streams that 1) have historically low flow conditions, 2) have the most fish and other freshwater species, and 3) have the best enabling conditions to purchase water for fish. With this tool, conservation organizations and water managers can determine the best locations to invest time and money to help make California’s native fish and other freshwater species more resilient to drought. 
 The Drought Dashboard is based on the concept that native fish and other freshwater species are adapted to the historical flow conditions in a stream or river. If flow conditions drop substantially below historical average conditions, it is likely to cause stress to the native species. We are using the U.S. Geological Service stream flow data for over 200 stream gages in the state with long historical records to estimate if the current weekly average flow is above or below normal for this time of year. Using Tableau Public’s data visualization capabilities, we bring this information to the user in such a way to get an overview of the conditions across the state, as well as the ability to zero in on an individual stream. We then combine this information we compiled as part of research report that indicates key strategies to focus on to get water to fish, and which streams contain the highest diversity of fish and other freshwater species. All of the data used in the analysis are open data and can be downloaded freely directly from the Drought Dashboard.</t>
  </si>
  <si>
    <t>The Nature Conservancy</t>
  </si>
  <si>
    <t>• U.S. Geological Survey weekly average stream flow data compiled through the Water Watch program (http://waterwatch.usgs.gov/downloads/cov_shps/pa07dstx_shp.tar.gz)
 • U.S. Geological Survey table of 7-day average streamflow compared to historical streamflow for the day of the year (California) (http://waterwatch.usgs.gov/ww_cont.php?m=pa07d&amp;w=table&amp;r=ca&amp;a=1)
 • The Nature Conservancy’s California Freshwater Species Database ((https://map.dfg.ca.gov/metadata/ds1197.html) 
 • The Nature Conservancy’s Report “A Call to Action: Making the Most of Existing Strategies to Provide Flows for Nature in California.” This report is undergoing final review and has not yet been made public. However, all of the data used in the Drought Dashboard is open access and can be downloaded via Tableau Public (https://public.tableau.com/workbooks/CaliforniaDroughtDashboard.twb) 
 Future Additional Datasets: 
 • We would like to incorporate the data from gages listed on the California Data Exchange (http://cdec.water.ca.gov/), but this database does not have a well-documented API, making automated data retrieval difficult. We see this as a potential future improvement to California’s water data delivery.
 • We plan to incorporate the open data on California’s groundwater levels (https://data.ca.gov/dataset/water-data-library-groundwater-level-measurements) as a future improvement to the Drought Dashboard</t>
  </si>
  <si>
    <t>https://public.tableau.com/profile/kklausmeyer#!/vizhome/CaliforniaDroughtDashboard/Dashboard</t>
  </si>
  <si>
    <t>https://github.com/kklausmeyer/Drought_Dashboard</t>
  </si>
  <si>
    <t>https://drive.google.com/open?id=0B5n4IeHrVBindmhfNjZCTWpJMTA</t>
  </si>
  <si>
    <t>The Urban Drool Tool</t>
  </si>
  <si>
    <t xml:space="preserve">- [Slides](https://docs.google.com/presentation/d/1rr8I70WkmyJS5148a6yldgmUuNrKXBt9X6dqTAUONPQ/edit?usp=sharing)
- &lt;https://drive.google.com/open?id=0B5n4IeHrVBinOERsb3ZZWnNCVEk&gt; </t>
  </si>
  <si>
    <t>The main goal of this proof of concept project submittal would be to integrate water use data (Moulton Niguel Water District) with flow and water quality data collected at stormdrain outfalls (OC Public Works) to help prioritize catchments where a condition of unnatural water balance and flow regime may exist as a result of anthropogenic sources during dry weather. It is anticipated that integration of this data will also help inform selection of effective strategies, which will be especially helpful for south Orange County (south OC), where unnatural water balance/flow regime has been identified as a high priority water quality condition within the water quality improvement plan (WQIP) that is currently under development for the south OC watershed management area. This entry is in the Open Source / Data Visualizations and Insights category and would be used as a Decision Support, Data Sharing and Information Communication Tool.</t>
  </si>
  <si>
    <t>Moulton Niguel Water District / California Data Collaborative / OC Public Works</t>
  </si>
  <si>
    <t>See document</t>
  </si>
  <si>
    <t>https://drive.google.com/open?id=0B5n4IeHrVBinOERsb3ZZWnNCVEk</t>
  </si>
  <si>
    <t>https://docs.google.com/presentation/d/1rr8I70WkmyJS5148a6yldgmUuNrKXBt9X6dqTAUONPQ/edit?usp=sharing</t>
  </si>
  <si>
    <t>A web-based spatial framework for quantifying stormwater reduction opportunities and water resource benefits</t>
  </si>
  <si>
    <t>- [Slides](https://drive.google.com/open?id=0B5n4IeHrVBinSFVJV3Yyak5FRjQ)
- [Project Website](www.swtelr.com) Username: 2N_demo. Password: demopassword</t>
  </si>
  <si>
    <t>The inherent spatial and temporal variability of urban hydrology creates challenges for measuring long-term benefits of managing stormwater as a resource and prioritizing actions. A holistic quantification and accounting of effective stormwater volume reductions through infiltration, disconnection, storage etc. can be used to robustly infer downstream multi-benefits such as groundwater banking, base flow restoration, climate change mitigation, stream habitat enhancement etc. Existing stormwater management planning and tracking tools generally underutilize readily available public data sets that can help identify spatial patterns and detect the signal of long term change above the noise of climate variations. 2NFORM has created a technically robust yet computationally simple stormwater model to estimate, and track urban stormwater and pollutant load reductions as a result of BMP implementation directly demonstrating compliance with a number of MS4 NPDES Permit requirements. The stormwater Tool to Estimate Load Reductions (TELR) makes use of publicly available data to assist local and regional managers to make better stormwater management decisions. With TELR, freely available hydrography, rainfall, soils, land-use, impervious cover, impaired waterbodies, and local parcel-assessors’ layers are used to characterize urban catchments using a standardized methodology &lt;Map Your MS4&gt;; and widely-tested USDA algorithms are employed to estimate infiltration and runoff. TELR outputs provide simple, urban catchment-based spatial accounting of the benefits of structural and non-structural BMPs for distributed rainfall infiltration.
 In addition to directly demonstrating regulatory compliance, TELR is a framework for organizing urban water resource data that directly aligns with the State SWRP guidance to move toward a more integrated water management approach. TELR and supporting data collection tools are spatially-based, allowing municipalities to evaluate and communicate how stormwater improvements may directly lead to downstream water resource and ecological improvements. TELR provides a science-based approach to stormwater planning and tracking with outputs that are amenable to analysis at the regional and state levels for transparent assessment of priorities and progress over time.</t>
  </si>
  <si>
    <t>2NFORM</t>
  </si>
  <si>
    <t>• National hydrography dataset (http://nhd.usgs.gov/)
 • PRISM spatial rainfall interpolation (http://prism.oregonstate.edu/)
 • NRCS soils (https://www.nrcs.usda.gov/wps/portal/nrcs/site/soils/home/)
 • National Land Cover dataset (http://www.mrlc.gov/nlcd2011.php)
 • 303d waterbodies (http://www.waterboards.ca.gov/water_issues/programs/tmdl/integrated2012.shtml)
 • County parcel-assessors’ layers and land use classifications (http://data.sccgis.opendata.arcgis.com/datasets/b8127236e33544e3a24bdd0f0cfa6ac2_28)
 • Available municipal stormwater infrastructure mapping including outfalls, culverts, storm drains, structural BMPs non-structural BMPs, water quality monitoring networks.
 • CEDEN water quality data (http://www.ceden.org/)
 • International stormwater database (http://www.bmpdatabase.org/)</t>
  </si>
  <si>
    <t>Please visit the TELR website (www.swtelr.com) for a demonstration. Username: 2N_demo. Password: demopassword</t>
  </si>
  <si>
    <t>Technical documentation: Stormwater TELR Technical Document</t>
  </si>
  <si>
    <t>https://drive.google.com/open?id=0B5n4IeHrVBinSFVJV3Yyak5FRjQ</t>
  </si>
  <si>
    <t>Smart Water Analytics</t>
  </si>
  <si>
    <t>- [Slides](https://drive.google.com/open?id=0B5n4IeHrVBinZ2NPX0JWQ0IxX2s) 
- [Project Website](https://accenture-smartwateranalytics.ca-challenge.com) Note: This website is not publically accessible, hence please send request to following email address to get access: Sachin.dalal@accenture.com &amp; sonu.kumar.singh@accenture.com</t>
  </si>
  <si>
    <t>Smart Water Analytics is the industry leading innovative &amp; advanced technology solution leveraging some of open sources software combined with Accenture’s knowledge and experience in the water industry. Smart Water solution is not only helping States, Cities, Municipalities &amp; counties in North America but also some of the leading water supplier across the globe in water conservation and to provide safe drinking water 
 Our solution focuses on Ground Water and some of the salient features are mentioned below:
 Technology: -Built on Cloud technology &amp; leveraging some of the open software like Hadoop, Spark, Scoop, MySQL -Provides Analytics capabilities to look at data either in Dashboard or Map form -Leveraged “R” programing language to do comparison analysis of two or more counties for chemicals usage and number of wellsBusiness- Demonstrates capability to get answers to three (3) use cases in a very intuitive manner -Use Case 1 : Analyze trends of specific chemicals used in wells across the state level and deep dive at the well level -Use Case 2: Counties wherein the number of wells has increased -Use Case 3 : Attributing the increase in wells to increase in population or weather condition</t>
  </si>
  <si>
    <t>Accenture</t>
  </si>
  <si>
    <t>All Ground Water Data Sets collected from following agency
  i. Waterboard
  ii. DWR
  iii. USGS
  iv. UC Davis</t>
  </si>
  <si>
    <t>Link for the demo: https://accenture-smartwateranalytics.ca-challenge.com Note: This website is not publically accessible, hence please send request to following email address to get access Sachin.dalal@accenture.com &amp; sonu.kumar.singh@accenture.com</t>
  </si>
  <si>
    <t>https://drive.google.com/open?id=0B5n4IeHrVBinZ2NPX0JWQ0IxX2s</t>
  </si>
  <si>
    <t>EMP Water Quality Conditions Report (Water Quality Conditions in the Sacramento San Joaquin Bay-Delta and Suisun Bay)</t>
  </si>
  <si>
    <t>- [Slides](https://drive.google.com/open?id=0B5n4IeHrVBinQVVXWFUtSlZteDA) 
- [California Water Quality Monitoring Council](http://mywaterquality.ca.gov/index.html)</t>
  </si>
  <si>
    <t>The Bay-Delta Monitoring and Analysis Section within DWR’s Division of Environmental Services is part of the Environmental Monitoring Program (EMP) that monitors water quality, benthic macro invertebrates, and phytoplankton at discrete stations in the Sacramento-San Joaquin Delta, Suisun Bay, and San Pablo Bay. The monitoring conducted by the EMP is mandated by State Water Resources Control Board (SWRCB) - Water Rights Decision 1641 for operation of the State Water Project. The EMP program was established in 1970 and static “hardcopy” Water Quality Conditions reports have been published containing data from 1970 to 2011. This project, developed by 34 North was initiated to make the mandated data more accessible and usable in a web-based Interactive Water Quality Conditions Report Portal. 
 The SWRCB’s D-1641 mandates DWR to: 1) conduct a comprehensive environmental monitoring program to determine DWR’s compliance with water quality standards and 2) annually report on the data collected. Development of a web-based Interactive Water Quality Conditions Report was initiated by DWR and the State and Federal Water Contractors (SWFCA), as part of the SWRCB “My Water Quality Portals”. This new web-based report intends to replace the publication of the hard-copy version of the WQC report and will improve compliance requirements for the D-1641 Monitoring Report. DWR’s last WQC report for 2011 was published in 2012 and this new format will provide the following improvements:
 • Real time reporting and updates available to the public in an easy to use web interface.
 • Reduce staff time required to develop these reports and allow more time for data analysis and problem solving. 
 • Make all EMP data available and useful for scientists and managers to respond to recent court decisions, biological opinions, and mandates for drought responses.
 • Trend analysis.
 • Program data will be made available via web services for other water quality programs and scientific efforts.</t>
  </si>
  <si>
    <t>34 North</t>
  </si>
  <si>
    <t>1. The Department of Water Resources (DWR) Division of Environmental Services’ (DES) water quality monitoring: Discrete and Real Time.
 2. Monitoring hydrologic variables including rainfall, runoff, storage, releases, diversions and discharges from water users to better understand how water changes in space and time.
 3. The California Department of Fish and Wildlife’s Zooplankton Study determines the composition (what kinds?), abundance (how many?), and distribution (where are they?) of zooplankton in the upper SFE as part of the Interagency Ecological Program’s Environmental Monitoring Program (EMP). The Zooplankton Study monitors zooplankton in the upper SFE from San Pablo Bay east through the Delta.
 4. Phytoplankton and chlorophyll-a. Both types of monitoring are performed as part of the IEP’s Environmental Monitoring Program (EMP)
 5. Department of Water Resources’ Benthic Organism Study. 
 6. United States Fish and Wildlife Service Delta Juvenile Fish Monitoring Program.</t>
  </si>
  <si>
    <t>emp.opennrm.org (paste address in browser)
username:  guest@34north.com 
password:    baydeltalive
Note that this project is scheduled to go live January 10, 2017.  You are getting a preview of the project using this URL.  The permanent URL will reside at the http://mywaterquality.ca.gov/index.html</t>
  </si>
  <si>
    <t>https://drive.google.com/open?id=0B5n4IeHrVBinQVVXWFUtSlZteDA</t>
  </si>
  <si>
    <t>Bay Area Urban Water System Barcode</t>
  </si>
  <si>
    <t xml:space="preserve">- [Slides](https://drive.google.com/open?id=0B5n4IeHrVBinblM4c2NtS25HaWs) 
- &lt;https://drive.google.com/open?id=0B5n4IeHrVBinbmZpYmRjWFIzUVU&gt; </t>
  </si>
  <si>
    <t>The Bay Area Urban Water System Barcode is a visualization of the numerous agency that own, operate, and manage systems that provide Bay Area cities with water and wastewater services. In 2016 the Association of Bay Area of Governments required a resource to understand which stakeholders did what in the nine-county region. The Barcode as it is now allows a user to see which agencies are responsible for various phases of water and wastewater service for each individual cities. Some cities in the region have identical patterns of service, but there are many unique patterns of water and wastewater service in the Bay Area with municipalities, special districts, and private utilities responsible for varying roles depending on the city.
 There are many actions that can be taken to address the current and future droughts. To be a drought resilient region ABAG believes all of our collective resources must be tapped. Understanding who does what will help make it clear who would do what across each of the 101 cities in the Bay Area, as well as highlight who might need to be brought into a collaborative to achieve an outcome. We hope this is only version one of the Barcode. We would like to turn the Barcode into a Sankey diagram as shown on slide five of the Powerpoint. This will require substantial data mining of UWMPs or better reporting in DWR’s UWMP “Data Exports” tables.</t>
  </si>
  <si>
    <t>Association of Bay Area Governments</t>
  </si>
  <si>
    <t>Urban Water Management Plans, Water District Websites, City/County Websites, Census</t>
  </si>
  <si>
    <t>https://drive.google.com/open?id=0B5n4IeHrVBinbmZpYmRjWFIzUVU</t>
  </si>
  <si>
    <t>https://drive.google.com/open?id=0B5n4IeHrVBinblM4c2NtS25HaWs</t>
  </si>
  <si>
    <t>Salinity Management (Managing Salinity in the Delta)</t>
  </si>
  <si>
    <t>- [Slides](https://drive.google.com/open?id=0B5n4IeHrVBinRHZwaGwtMVBQT0k) 
- [Bay Delta Live Site](www.baydeltalive.com/salinity)</t>
  </si>
  <si>
    <t>1. California Data Exchange Center: Real Time Conditions Data. Electrical Conductivity, Flow, Turbidity.
 2. California hydrologic conditions: Scheduled exports, Delta inflow, 
 3. The California Department of Fish and Wildlife’s Zooplankton Study determines the composition (what kinds?), abundance (how many?), and distribution (where are they?) of zooplankton in the upper SFE as part of the Interagency Ecological Program’s Environmental Monitoring Program (EMP). The Zooplankton Study monitors zooplankton in the upper SFE from San Pablo Bay east through the Delta.
 4. Phytoplankton and chlorophyll-a. Both types of monitoring are performed as part of the IEP’s Environmental Monitoring Program (EMP)
 5. Department of Water Resources’ Benthic Organism Study. 
 6. United States Fish and Wildlife Service Delta Juvenile Fish Monitoring Program.</t>
  </si>
  <si>
    <t>www.baydeltalive.com/salinity</t>
  </si>
  <si>
    <t>https://drive.google.com/open?id=0B5n4IeHrVBinRHZwaGwtMVBQT0k</t>
  </si>
  <si>
    <t>Native Fisheries Monitoring in the Sacramento San Joaquin Delta</t>
  </si>
  <si>
    <t>- [Slides](https://drive.google.com/open?id=0B5n4IeHrVBineUxWR25HTWNTZzQ)
- [Bay Delta Live Website](www.baydeltalive.com/djfmp) Please navigate the data dashboards using the sub navigation: Triggers and Indices, RBDD, DJFMP Highlights, DJFMP Details, Water Quality, Salvage, NOAA Forecasts, Visualizations</t>
  </si>
  <si>
    <t>The fisheries Monitoring dashboards were created to facilitate monitoring that informs real time water operations. The fisheries data is an aggregate of local, state, and federal efforts to monitor fish migration within and upstream of the Delta. The fisheries monitoring data is coupled with real-time hydrodynamic, real-time water quality and forecasted meteorological conditions. 
 Data in this dashboard is assembled according to Reasonable and Prudent Alternatives (RPA) as outlined by Biological Opinions directed by NMFS NOAA and USFWS. The RPA’s mandate monitoring of state and federally threatened and endangered fish species (in addition to other species) and related environmental conditions. The dashboards are a decision support tool for the following groups: 
 • Delta Operations for Salmon and Sturgeon (DOSS) is an interagency technical advisory team who closely monitors conditions to balance Delta Operations and protecting listed fish species. Through the Biological Opinions DOSS has a series of Triggers and Indices which alert fish migration and indicate a need for changes to Delta Operations. 
 • The Delta Conditions Team (DCT) is comprised of local, state, and federal government representatives; water contractors; and NGO’s. The DCT meets weekly to review current conditions (fish, turbidity, flow, weather, temperature, and exports).
 • The Smelt Working Group (SWG) focuses on conditions related to delta and longfin smelt. The team reviews conditions and advises changes in Delta Operations to reduce smelt mortality. A key indicator for smelt migration is increases in turbidity in the Delta.
 • General Water Operations.</t>
  </si>
  <si>
    <t>1. California Department of Fish and Wildlife Knights Landing and Tisdale Rotary Screw Trap Data (ftp://ftp.streamnet.org/pub/calfish/dailydata/)
 2. United States Fish and Wildlife Service Juvenile Salmonid Monitoring at Red Bluff Diversion Dam (https://www.fws.gov/REDBLUFF/MSJM%20Reports/RST/rbdd_jsmp_annual.html)
 3. U.S. Fish and Wildlife Service Delta Juvenile Fish Monitoring Program (https://www.fws.gov/lodi/juvenile_fish_monitoring_program/jfmp_index.htm)
 4. Department of Water Resources California Data Exchange Center (CDEC) (http://cdec.water.ca.gov/index.html)
 5. Department of Water Resources Executive Operations Summary (http://www.water.ca.gov/swp/operationscontrol/docs/delta/deltaops.pdf)
 6. United States Geologic Survey National Water Information System (http://waterdata.usgs.gov/nwis)
 7. United States Bureau of Reclamation Central Valley Operations (http://www.usbr.gov/mp/cvo/)
 8. California Department of Water Resources Division of Operations and Maintenance Delta Hydrology Conditions (http://www.water.ca.gov/swp/operationscontrol/docs/delta/DeltaHydrology.pdf)
 9. California department of Fish and Wildlife Salvage Monitoring (ftp://ftp.dfg.ca.gov/salvage/)
 10. National Oceanic and Atmospheric Administration Tide Predictions (https://tidesandcurrents.noaa.gov/tide_predictions.html?gid=1393)
 11. National Oceanic and Atmospheric Administration National Weather Service River Forecasts (http://water.weather.gov/ahps/forecasts.php)</t>
  </si>
  <si>
    <t>www.baydeltalive.com/djfmp ** Please navigation the data dashboards using the sub navigation: Triggers and Indices, RBDD, DJFMP Highlights, DJFMP Details, Water Quality, Salvage, NOAA Forecasts, Visualizations</t>
  </si>
  <si>
    <t>https://drive.google.com/open?id=0B5n4IeHrVBineUxWR25HTWNTZzQ</t>
  </si>
  <si>
    <t>Providing Context to a Proposed Shasta Dam Expansion</t>
  </si>
  <si>
    <t>Andrew Tom, Bobby Miyashiro, Jason Leung, Judy Chen</t>
  </si>
  <si>
    <t>- [Slides](https://drive.google.com/file/d/0B5n4IeHrVBinaWRleWZ1QVJRZ0k/view?resourcekey=0-eZCjxx_PJjVAxJ_nnHIdXA)
- [Project Website](http://storageaf.wixsite.com/shastadam)</t>
  </si>
  <si>
    <t>California’s recent drought has placed unprecedented demands on our freshwater resources, renewing enthusiasm for surface water infrastructure investments such as raising dams to capture more water in wet years. Using historical data of storage levels and inflows of Shasta Dam, our group wanted to estimate how successful the Bureau of Reclamation’s expansion of Shasta Dam would be. We graphed past patterns of data and modeled potential future scenarios. Our entry is in the categories of data visualization and insights and Decision Support, Data Sharing and Information Communication Tools.</t>
  </si>
  <si>
    <t>http://storageaf.wixsite.com/shastadam</t>
  </si>
  <si>
    <t>https://drive.google.com/file/d/0B5n4IeHrVBinaWRleWZ1QVJRZ0k/view?resourcekey=0-eZCjxx_PJjVAxJ_nnHIdXA</t>
  </si>
  <si>
    <t>2018 Water Data Challenge</t>
  </si>
  <si>
    <t>Central Valley Well Vulnerability</t>
  </si>
  <si>
    <t>Rich Pauloo, Amanda Fencl, Hervé Guillon, Alvar Escriva-Bou</t>
  </si>
  <si>
    <t>- [Project Repository](https://github.com/waterdatacollaborative/FunctionWaterDataScience_Central-Valley-Well-Vulnerability)
- [Project Website](https://richpauloo.github.io/flexdash.html)
- [Repository](https://github.com/richpauloo/cawdc)</t>
  </si>
  <si>
    <t>Groundwater</t>
  </si>
  <si>
    <t>Most Data-licious</t>
  </si>
  <si>
    <t>Studying wells in the Central Valley in California.</t>
  </si>
  <si>
    <t>function(water, data) { science }</t>
  </si>
  <si>
    <t>[Rich Pauloo](https://richpauloo.github.io), Amanda Fencl, Hervé Guillon, Alvar Escriva-Bou</t>
  </si>
  <si>
    <t>https://github.com/waterdatacollaborative/FunctionWaterDataScience_Central-Valley-Well-Vulnerability</t>
  </si>
  <si>
    <t>DAMMS: Dam Assessment Mapping and Safety System</t>
  </si>
  <si>
    <t>Daniel Siegel, Colin King-Bailey, Jessica Rahman, Dan Constable</t>
  </si>
  <si>
    <t>- [Project Repository](https://github.com/waterdatacollaborative/Dam-Safety-2018)
- [Project Website](https://dam-safety.github.io/damss)</t>
  </si>
  <si>
    <t>Infrastructure</t>
  </si>
  <si>
    <t>Team Spirit and Collaboration</t>
  </si>
  <si>
    <t>Communicating dam safety through visualizations, building support for change</t>
  </si>
  <si>
    <t>Dammed if you do</t>
  </si>
  <si>
    <t>https://github.com/waterdatacollaborative/Dam-Safety-2018</t>
  </si>
  <si>
    <t>Drinking Water Contaminant Classification</t>
  </si>
  <si>
    <t>Nicole Look</t>
  </si>
  <si>
    <t>- [Project Repository](https://github.com/waterdatacollaborative/NicoleLook_Drinking-Water-Contaminant-Classification)</t>
  </si>
  <si>
    <t>Quality | Infrastructure</t>
  </si>
  <si>
    <t>[Nicole Look](https://github.com/nmlook)</t>
  </si>
  <si>
    <t>https://github.com/waterdatacollaborative/NicoleLook_Drinking-Water-Contaminant-Classification</t>
  </si>
  <si>
    <t>Get the lead out!</t>
  </si>
  <si>
    <t>Laura Deehan, Sadie Gill, Lo Benichou</t>
  </si>
  <si>
    <t>- [Project Repository](https://github.com/waterdatacollaborative/Get-the-Lead-Out)
- [Project Website](https://lobenichou.github.io/waterChallenge/)
- [2019 Project](https://waterdatachallenge.github.io/project/get-the-lead-out-2019/)</t>
  </si>
  <si>
    <t>Quality</t>
  </si>
  <si>
    <t>Peoples Choice | Ready-to-Go</t>
  </si>
  <si>
    <t>Lead Levels in San Francisco Schools San Francisco Unified School District tested the school's drinking water for lead last year. This map shows the highest lead levels detected at each school based on multiple sample sites and dates.
There is no safe level of lead, especially for children. Even small amounts can lower IQ. Damage from lead exposure is irreversible. 
Take action with CALPIRG's "Get The Lead Out:Back to School Toolkit."</t>
  </si>
  <si>
    <t>SF No Lead</t>
  </si>
  <si>
    <t>https://github.com/waterdatacollaborative/Get-the-Lead-Out</t>
  </si>
  <si>
    <t>Identifying high-risk communities</t>
  </si>
  <si>
    <t>Jacqueline Barkoski, Chuan-Shin Chong</t>
  </si>
  <si>
    <t>- [Project Website](http://arcg.is/19OXPW)</t>
  </si>
  <si>
    <t>Affordability</t>
  </si>
  <si>
    <t>Rising Innovator</t>
  </si>
  <si>
    <t>Identifying communities with a high risk of shortage using a multifactor vulnerability score</t>
  </si>
  <si>
    <t>Code4Sac</t>
  </si>
  <si>
    <t>Hows My Water?</t>
  </si>
  <si>
    <t>Hadrien N Picq</t>
  </si>
  <si>
    <t>- [Project Repository](https://github.com/waterdatacollaborative/HowsMyWater-DataAnalysis)</t>
  </si>
  <si>
    <t>[Hadrien N Picq](https://hp-nunes.github.io/)</t>
  </si>
  <si>
    <t>https://github.com/waterdatacollaborative/HowsMyWater-DataAnalysis</t>
  </si>
  <si>
    <t>Open Water Rate Specification (OWRS)</t>
  </si>
  <si>
    <t>Patrick Atwater, Christopher Tull, David Marulli</t>
  </si>
  <si>
    <t>- [Project Repository](https://github.com/waterdatacollaborative/Open-Water-Rate-Specification-2018)
- [Project Website](https://github.com/California-Data-Collaborative)</t>
  </si>
  <si>
    <t>Tools | Affordability</t>
  </si>
  <si>
    <t>Moonshot</t>
  </si>
  <si>
    <t>N/A</t>
  </si>
  <si>
    <t>ARGO</t>
  </si>
  <si>
    <t>[Christopher Tull](http://christophertull.org), Patrick Atwater, David Marulli</t>
  </si>
  <si>
    <t>https://github.com/waterdatacollaborative/Open-Water-Rate-Specification-2018</t>
  </si>
  <si>
    <t>Prediction and Visualization of Reported Units</t>
  </si>
  <si>
    <t>Anna Waldron, Elena Smith</t>
  </si>
  <si>
    <t>- [Project Repository](https://github.com/waterdatacollaborative/JPLCivicHackers_Prediction-Visualization-Reported-Units)
- [Project Website](https://github.com/ozzysChiefDataScientist/water)</t>
  </si>
  <si>
    <t>Tools</t>
  </si>
  <si>
    <t>Imagine H2O</t>
  </si>
  <si>
    <t>Saving staff time by building a model that identifies Electronic Annual Reports (EARs) with errors. Can we learn more about contributing factors through geographic visualization?</t>
  </si>
  <si>
    <t>Lovelace Ladies</t>
  </si>
  <si>
    <t>https://github.com/waterdatacollaborative/JPLCivicHackers_Prediction-Visualization-Reported-Units</t>
  </si>
  <si>
    <t>Better Data Quality for Better Water Equity: Transforming EAR data</t>
  </si>
  <si>
    <t>Juan Manfredi</t>
  </si>
  <si>
    <t>- [Project Repository](https://github.com/waterdatacollaborative/Water-Usage-and-Production)</t>
  </si>
  <si>
    <t>Every year, the State of California gathers data about water usage and production from all of its public water systems via Electronics Annual Reports (EARs). For instance, consider Dataset #8 in the Recommended Challenge Datasets: this dataset lists information taken from the EAR for each public water system (PWS) for each month of the year, including water production/delivery, water quality, and rates. In principle, this dataset is a treasure-trove of knowledge for government employees seeking to study, optimize, and understand water distribution in California.
Despite the effort expended to gather this data, it rarely gets used in analyses. Even though the dataset contains valuable insight about water use, its clunky format makes even simple analysis questions (e.g. how does water production change in a particular PWS over time?) difficult to ask. Furthermore, the low data quality (e.g. missing fields) provides other obstacles.
This repository includes Jupyter Python notebooks to address both the format and quality problems in the EAR dataset. We intend the users of this repository to be state and local government employees (or perhaps simply interested citizens) who wish to understand how, when, and where water is used in California.</t>
  </si>
  <si>
    <t>[Juan Manfredi](https://github.com/jmanfredi)</t>
  </si>
  <si>
    <t>https://github.com/waterdatacollaborative/Water-Usage-and-Production</t>
  </si>
  <si>
    <t>Visualizing Exceedance of Contaminants</t>
  </si>
  <si>
    <t>Aaron Hans, Robert Gibboni, Rucker Alex, Yotam Hacohen</t>
  </si>
  <si>
    <t>- [Project Repository](https://github.com/waterdatacollaborative/OpenOakland_Exceedence-Levels-Vis)
- [Project Website](https://aaronhans.github.io/water-challenge/html/index.html)</t>
  </si>
  <si>
    <t>Most Engaging by Design</t>
  </si>
  <si>
    <t>Visualizing exceedance levels of water system contaminants.</t>
  </si>
  <si>
    <t>OpenOakland</t>
  </si>
  <si>
    <t>https://github.com/waterdatacollaborative/OpenOakland_Exceedence-Levels-Vis</t>
  </si>
  <si>
    <t>Water: Towards True Affordability</t>
  </si>
  <si>
    <t>Ludovico Bianchi</t>
  </si>
  <si>
    <t>- [Project Repository](https://github.com/waterdatacollaborative/Water-Towards-True-Affordability)
- [Project Website](https://cawc-towardstrueaffordability.netlify.com/)</t>
  </si>
  <si>
    <t>Communities that are economically disadvantaged are most vulnerable to high water prices, and safety and availability issues.
This project combines information from the Public Water Services (PWS), US Census data and water utility rates to study the affordability of drinking water in California.
To fill the gaps in the existing data and engage and empowered the communities most affected, a proof-of-concept implementation for a survey is included.</t>
  </si>
  <si>
    <t>[Ludovico Bianchi](https://ludob.com)</t>
  </si>
  <si>
    <t>https://github.com/waterdatacollaborative/Water-Towards-True-Affordability</t>
  </si>
  <si>
    <t>2019 Water Data Challenge</t>
  </si>
  <si>
    <t>Jata Water Solution</t>
  </si>
  <si>
    <t>Junlin Chen, Jingjua Yao, Zini Zhu, Caidan Yang, Jiajia Jing</t>
  </si>
  <si>
    <t>- [Project Repository](https://github.com/jyao8112/CA-Water-Contest.git)</t>
  </si>
  <si>
    <t>Tools | Quality</t>
  </si>
  <si>
    <t>Empowering Community Residents with One Integrated Information Platform and Two-Way Data Communication</t>
  </si>
  <si>
    <t>The Jata Solutions</t>
  </si>
  <si>
    <t>https://github.com/jyao8112/CA-Water-Contest.git</t>
  </si>
  <si>
    <t>Blue Conduit</t>
  </si>
  <si>
    <t>Dr. Eric Schwartz, Dr. Jacob Abernethy, Jared Webb, Ian Robinson, Brigadier General (ret.) Michael McDaniel</t>
  </si>
  <si>
    <t/>
  </si>
  <si>
    <t>Infrastructure | Quality</t>
  </si>
  <si>
    <t>Using AI to reduce uncertainty of lead service line replacement</t>
  </si>
  <si>
    <t>BlueConduit</t>
  </si>
  <si>
    <t>Spotting the Drought</t>
  </si>
  <si>
    <t>Siu Lim Lee, Lynn Gao</t>
  </si>
  <si>
    <t>- [Project Website](https://californiadrought.shinyapps.io/WaterWells/)</t>
  </si>
  <si>
    <t>Availability</t>
  </si>
  <si>
    <t>California Safe Drinking Water</t>
  </si>
  <si>
    <t>Aaron Hans, Cori Gaul, Michael Norelli, Rucker Alex, Alex Aruj, Sean Pennino</t>
  </si>
  <si>
    <t>- [Project Repository](https://github.com/openoakland/clean-water)
- [Project Website](http://water.openoakland.org/)</t>
  </si>
  <si>
    <t>Enduring Civic Engagement</t>
  </si>
  <si>
    <t>Code for America Open Oakland Water</t>
  </si>
  <si>
    <t>https://github.com/openoakland/clean-water</t>
  </si>
  <si>
    <t>Statewide Interactive Map of Lead in Drinking Water</t>
  </si>
  <si>
    <t>Laura Deehan, Sadie Gill, Daniel Dufour, Victoria Mak</t>
  </si>
  <si>
    <t>- [Project Repository](https://github.com/GeoSurge/get-the-lead-out-map)
- [2018 Project](https://waterdatacollaborative.github.io/project/get-the-lead-out/)
- [Project Website](https://geosurge.github.io/get-the-lead-out-map/)</t>
  </si>
  <si>
    <t>Change at Scale</t>
  </si>
  <si>
    <t>Lead Levels in San Francisco Schools San Francisco Unified School District tested the school's drinking water for lead last year. This map shows the highest lead levels detected at each school based on multiple sample sites and dates.
There is no safe level of lead, especially for children. Even small amounts can lower IQ. Damage from lead exposure is irreversible. 
Take action with CALPIRG's "[Get The Lead Out:Back to School Toolkit](https://calpirg.org/resources/caf/get-lead-out-back-school-toolkit)."</t>
  </si>
  <si>
    <t>California Get the Lead Out!</t>
  </si>
  <si>
    <t>https://github.com/GeoSurge/get-the-lead-out-map</t>
  </si>
  <si>
    <t>PFAS– We Eat It, We Drink It, We Breathe It</t>
  </si>
  <si>
    <t>Melissa Salazar</t>
  </si>
  <si>
    <t>- [Project Repository](https://github.com/CAWaterBoardDataCenter/PFAS-Analysis-and-Intervention)
- [Project Website](https://meldataaa.shinyapps.io/PFAS_Analysis_and_Intervention/)</t>
  </si>
  <si>
    <t>Peoples Choice</t>
  </si>
  <si>
    <t>PFAS Away</t>
  </si>
  <si>
    <t>https://github.com/CAWaterBoardDataCenter/PFAS-Analysis-and-Intervention</t>
  </si>
  <si>
    <t>Source Water Time Machine</t>
  </si>
  <si>
    <t>Juliana Spector</t>
  </si>
  <si>
    <t>- [Project Repository](https://github.com/julianaspector/SourceWaterTimeMachine)
- [Project Website](https://jjspector.shinyapps.io/source_water_time_machine/)</t>
  </si>
  <si>
    <t>Know Your Source, Of Course!</t>
  </si>
  <si>
    <t>https://github.com/julianaspector/SourceWaterTimeMachine</t>
  </si>
  <si>
    <t>Water Quality Portal for California</t>
  </si>
  <si>
    <t>Rich Pauloo, Lindsay Poirier, Andrew Essin, Avery Kreuger</t>
  </si>
  <si>
    <t>- [Project Repository](https://github.com/caccr/cawdc_2019)
- [Project Website](https://caccr.github.io/)</t>
  </si>
  <si>
    <t>Ready-to-Go</t>
  </si>
  <si>
    <t>[Rich Pauloo](https://richpauloo.github.io), Lindsay Poirier, Andrew Essin, Avery Kreuger</t>
  </si>
  <si>
    <t>https://github.com/caccr/cawdc_2019</t>
  </si>
  <si>
    <t>Water Rate Structures– Do They Make Cents?</t>
  </si>
  <si>
    <t>Lauren Adams, Benjamin Dawson, Ian Morelan, Kyle Onda, Wai Yan Siu, Joakim Weill</t>
  </si>
  <si>
    <t>- [Project Website](https://ianartmor.github.io/ca_owrs/)</t>
  </si>
  <si>
    <t>Econ on Tap</t>
  </si>
  <si>
    <t>Water Scarcity Clock</t>
  </si>
  <si>
    <t>Sara Biazar, Iskra Ušćumlić, Thomas Mitterling, Peter Burek, Peter Greve, Robert Burtscher, Jasmin Baier</t>
  </si>
  <si>
    <t>- [Project Website](https://www.worldwater.io/)</t>
  </si>
  <si>
    <t>World Data Lab &amp; International Institute for Applied Systems Analysis</t>
  </si>
  <si>
    <t>WeedsViz</t>
  </si>
  <si>
    <t>Junjun Dong, Qingping Hou</t>
  </si>
  <si>
    <t>- [Project Repository](https://github.com/junjunjd/WeedsViz)
- [Project Website](https://junjunjd.github.io/WeedsViz/)</t>
  </si>
  <si>
    <t>Delta Region Aquatic Invasive Plant Control Visualization</t>
  </si>
  <si>
    <t>https://github.com/junjunjd/WeedsViz</t>
  </si>
  <si>
    <t>The WeTap App</t>
  </si>
  <si>
    <t>Evelyn Wendel, Aaron Hans, Susan Wrenn, Jack Sahl, Caleb Rabinowitz, Charles Ellis, Adam Western</t>
  </si>
  <si>
    <t>- [Project Website](http://wetap.org/)</t>
  </si>
  <si>
    <t>WeTap</t>
  </si>
  <si>
    <t>2020-2021 Water Data Challenge</t>
  </si>
  <si>
    <t>Purify</t>
  </si>
  <si>
    <t>Ansh Motiani, Adi Gupta, Samhith Kakarla</t>
  </si>
  <si>
    <t>- [Project Website](https://purify-16131.web.app)
- [Overview Video](https://drive.google.com/file/d/1kai0_PXFeZxfxmmDe-mFhZ2e4XEjv7MP/view?usp=sharing)</t>
  </si>
  <si>
    <t>Brown Mundes</t>
  </si>
  <si>
    <t>anshmotiani47@gmail.com, adisguptag@gmail.com, samhith.kakarla@gmail.com</t>
  </si>
  <si>
    <t>Massachusetts, North Carolina, North Carolina</t>
  </si>
  <si>
    <t>Clean Water Discrimination: The Native American Water Crisis</t>
  </si>
  <si>
    <t>Open source (components used to produce the result are freely available for distribution and modification)</t>
  </si>
  <si>
    <t>Comparing the impacts of water regulation and policy in Native American communities with Non-Native communities</t>
  </si>
  <si>
    <t>Initially, we tried to access data from the California USGS, but it did not provide the information that we needed. As a result, our project revolved around EPA Enforcement and Compliance History Detailed Facility Reports for Native American and Non-native areas. This outlined water quality violations for each location and provided insightful data that we used to create our interactive map and visualizations. We utilized web-scraping and their API to get access to the information we needed.
In addition, we used Census data to find the latitude, longitude, and zipcodes of each community, so we could best display them on our map.
While most of our backend work has been done from scratch, our website took inspiration from a previous California Water Data Challenge winner, http://calwaterquality.com/.</t>
  </si>
  <si>
    <t>With our interactive tool, we hope to raise awareness for the major water quality issues present in Native American communities, not just in California, but throughout the western United States. The ability to compare Native American water quality with nearby non-native communities highlights the growing divide in access to clean water. Even when they are in the same geographical areas, Native American communities often have poorer water quality than Non-native communities. Our team hopes to bring this often overlooked issue to the fore.
We want our findings to inspire and fuel actions to protect these disadvantaged Native American communities and bring about change. We plan to present our findings to state and local governments to give a voice to a suppressed population.</t>
  </si>
  <si>
    <t>We approached this broad water quality problem by focusing on a specific community that is in need of help. Often times, Native American difficulties and struggles are overlooked by others. We want to change that. By narrowing the focus of our project, we were able to have a more direct and substantial impact in the area of our research. 
While there are many tools to explore water quality in states such as California, we could not find any that had a specific focus on Native American Communities. In addition, none of the tools we came across had an option to compare the water quality of a certain place with nearby communities. Our Relative Quality Reports allow the user to do this. This provides a context for the results and data presented, and it highlights the major problem of clean water discrimination.</t>
  </si>
  <si>
    <t>This is the most shocking statistic we came across in our findings: Native American communities are 30% more likely to have water quality violations than Non-Native communities. They also have a significantly higher chance of their violations going unaddressed and continuing to pose a threat to the local population. 
We outline and display all of these statistics and figures on our website and include many interactive visualizations to show a certain place’s frequency of specific contaminant violations (includes the names of contaminants), number of addressed and unaddressed violations, and a scatterplot comparing the Native American community to nearby non-native communities. Others can easily take our findings and use them to gain insight into certain communities and improve upon our work.
We also plan to make our cleaned data sets available on our website so others can use this data for their own purposes and bring further insight into this topic.</t>
  </si>
  <si>
    <t>Being high school students, one of the biggest problems was finding time to work on this project. In between all the tests and quizzes, we pulled all-nighters to turn our idea into a reality, and it was definitely worth it.
Along with that, we also lacked major experience in the field of Data Science. While we, the team members, have taken courses and done research internships focused on Data Science, we had never gone out and done a project on our own, without any guidance from mentors or teachers. It was both a blessing and a curse: we learned to become independent and picked up skills that will last a lifetime, but also went through hours and hours of Stack Overflow and hectic Google searches :). 
In addition, a lot of the software we used was the “trial” or “basic” version, so we were limited by our resources. One example would be the Plotly visualization library. We had around 500 plots to display, but our API calls were limited to 100, so we had to create multiple accounts and continuously change our functions in order for the code to work.
Lastly, and most importantly, a lot of data was missing, so we had to manually input it. In situations where web-scraping wasn’t an option, we opened up the data sets ourselves and combed through each and every row to make sure we had as much quality data as possible. Our process involved a lot of data cleaning and improvement.
Now that we have the quality data, with access to better resources, we can easily scale our project.</t>
  </si>
  <si>
    <t>Instagram: @ansh_motiani, @aditya10g, @samhith.k, #nativeamerican #water-quality #cleanwaterdiscrimination</t>
  </si>
  <si>
    <t>Purify_Overview.mp4
Link_to_website.pdf
Project_proposal_1.pdf</t>
  </si>
  <si>
    <t>Surface Moisture Monitoring in Real-Time and Large Scales</t>
  </si>
  <si>
    <t>Frankie Ridolfi, Steven Hamann</t>
  </si>
  <si>
    <t>Upwardly Innovations</t>
  </si>
  <si>
    <t>frankie@upwardly.work, shamann@quaestainstruments.com</t>
  </si>
  <si>
    <t>Oakland, CA (Frankie), Tucson, AZ (Steven)</t>
  </si>
  <si>
    <t>Our innovation is a real-time data collection method for field-scale (and larger) sensing of soil moisture, snowmass, and vegetation that may be used to ground-truth, calibrate, complement, and augment the current methods of estimating surface water data at these scales -- critical inputs for water markets and implementation of the SGMA, including the soon to be unveiled OpenET (evapotranspiration) platform which uses estimates from satellite imagery, not proximal measures.</t>
  </si>
  <si>
    <t>Mix of Open Source &amp; Proprietary</t>
  </si>
  <si>
    <t>Improving the Quality and Usability of Our Data and Metadata</t>
  </si>
  <si>
    <t>We used soil moisture data measured by single and networked sensors. We are leveraging over 13 years of technical development and field testing with universities, U.S. government labs and agencies, and commercial agriculture. Quaesta Instruments is a scientific firm that provides surface moisture sensing hardware systems and web-accessible data streams.
The surface water data we’re collecting is generated by these above-ground systems, which use proven cosmic-ray sensor (CRS) network technology that offers many advantages over existing methods. For example, one “box” placed on an irrigation pivot can continuously stream soil moisture data as it sweeps in a circle across a field, creating high resolution maps. 
These sensor networks (one sensor per field) make it practical to monitor water volume in soils, snowmass, and vegetation over very large areas to improve irrigation efficiency, monitor water supply, assess flood and fire hazard, and inform climate models.</t>
  </si>
  <si>
    <t>Our goal is to introduce Cosmic Ray Sensor (CRS) data to the open water community, which likely is not aware of its existence, and begin an exploration of how it can improve water data quality and analysis and support wiser water management and public policy. 
Moisture at the land surface in the form of soil moisture, snow and vegetation water is critical to humans. Snowpack is important for water supply in most western states, and snowpack and soil moisture directly affect forests, weather and climate. Vegetation moisture content can help predict the effects of drought on crop yields and the likelihood of wildfire, and soil moisture and snowpack are important in predicting floods and landslides. Given the importance of surface moisture to our society, it should be well understood. But it is not. Spatial estimates of surface moisture are poor. 
We hypothesize that CRS data will help farm managers immediately make water use adjustments. For example, a web portal enables farmers to see their fields' soil moisture data in real-time and easily assess whether, when, and where it makes sense to irrigate or to conserve.</t>
  </si>
  <si>
    <t>As the State of CA prepares to deploy water markets and data platforms to support them over the next few months, it’s a singularly important time to confirm that the data being used are reliable and usable as possible. We believe analysts and program leaders will be eager for an additional and independent data source that may help improve coverage, improve representativeness in space and time, reduce measurement errors, and support standardization and harmonization of data. Demonstrating the applicability of this data type and collection method may also prove a model for how large-scale surface water assessments can be conducted statewide, and as a model across the nation.</t>
  </si>
  <si>
    <t>Academics evaluating our innovations have published numerous papers, which may be a good source for others wishing to reproduce that work and build on it from a technical and policy point of view. More importantly for the spirit of the Water Data Challenge, we wish to encourage innovation transfer now to policy makers, commercial agriculture, and community stakeholders.</t>
  </si>
  <si>
    <t>Typical irrigation practices lack a data-driven feedback mechanism on field saturation -- water is simply turned on and off at certain times, or as a farmer chooses. This is exceedingly wasteful. Most soil moisture systems require the deployment of probes stuck into the ground. This approach is expensive to scale, hard to reconcile with farming operations (wires and ploughs do not mix well), and provides only point-sources of data which are inferior and even misleading because fields are not homogeneous -- a probe can only measure the soil it is immediately touching. 
The use of cosmic-ray sensors is a major innovation for monitoring soil moisture. They are cheap to scale (one per field, easily networked), can be mounted on equipment and vehicles to avoid interfering with farming operations, and data are highly accurate because the technique remotely senses the entire field repeatedly, providing high resolution heat maps, time series, and transects.
This technique makes it practical and more cost-effective to monitor soil moisture (a critical factor also in monitoring groundwater), vegetation water equivalent (plants in a field), and snow water equivalent all via open-source web distribution for analysis at multiple scales, from individual fields to drainage basins to regions comprising the entire State of CA. Such a data stream would be a valuable resource for county governments, water utilities, agriculture areas and farms, and well as colleges, universities, high schools, and middle schools (STEM education).</t>
  </si>
  <si>
    <t>#upwardly-innovations #quaesta-instruments</t>
  </si>
  <si>
    <t>Well-Known</t>
  </si>
  <si>
    <t>Justin Ziniel, Michael Lutz</t>
  </si>
  <si>
    <t>- [Project Website](https://public.tableau.com/views/CaliforniaWaterQualityCensus/
WaterQualityCensusDashboard) 
- [Overview Video](https://drive.google.com/file/d/1E7heJkHM8H-aq38sRdBpqmr4CvA9K2xa/view?usp=sharing)</t>
  </si>
  <si>
    <t>Illuminare</t>
  </si>
  <si>
    <t>ziniel.1@osu.edu, mlutz0717@gmail.com</t>
  </si>
  <si>
    <t>Denver, CO (Justin) and Los Angeles, CA (Michael)</t>
  </si>
  <si>
    <t>We combine census data with groundwater quality data to provide a high-resolution map that helps answer the question "how do social, economic, and employment factors impact groundwater quality?".</t>
  </si>
  <si>
    <t>How might we identify and understand the multi-faceted issues that communities with limited or unstable access to water resources face?</t>
  </si>
  <si>
    <t>We employed several sources of data, including:
- Water Quality Portal data from the National Water Quality Monitoring Council (https://www.waterqualitydata.us) for groundwater test data for inorganic and organic contaminants
- Area Deprivation Index (ADI) data from the University of Wisconsin School of Medicine and Public Health (https://www.neighborhoodatlas.medicine.wisc.edu) to quantify disadvantaged neighborhoods
- 2015-2019 American Community Survey (ACS) data from the US Census Bureau (https://www.census.gov/programs-surveys/acs) for demographic information
- Cartographic data from the US Census Bureau for spatial boundary information</t>
  </si>
  <si>
    <t>Our goal is to provide a prototype approach of how researchers might quickly sift through large volumes of demographic and water quality data to identify important correlations that warrant further analysis/study.</t>
  </si>
  <si>
    <t>We believe that overlaying census and water quality data in a single geospatial plot, in addition to calculating important summary statistics on-the-fly, represents a novel approach to gaining insight into how water quality and population demographics interact at a variety of scales.  In addition, while we focused on ZIP code-level granularity for this prototype, our technique could be straightforwardly modified to operate at the census block-level, providing even finer granularity.</t>
  </si>
  <si>
    <t>By leveraging only open-source datasets and tools (specifically, the Tableau Public business intelligence dashboard tool), and making our dashboard freely available for others to download and modify (https://public.tableau.com/views/CaliforniaWaterQualityCensus/WaterQualityCensusDashboard), we believe we have adopted the spirit of reproducible research and open collaboration.</t>
  </si>
  <si>
    <t>The largest challenge we faced was the technical hurdle of joining multiple different datasets that all operated at different temporal and spatial resolutions.  The resultant data pipeline is able to process hundreds of thousands of data points in real-time.  This real-time process of exploratory data analysis is critical to facilitating data mining, i.e., interactive exploration of a large, multi-faceted dataset.
In principle, our approach is capable of working with a wide variety of water quality data.  We would find it especially interesting to expand the scope from wells to public utility drinking water.</t>
  </si>
  <si>
    <t>Well-Known_walkthrough.mov
Project_Website.pdf</t>
  </si>
  <si>
    <t>Drinking water vulnerability tool</t>
  </si>
  <si>
    <t>Gregor Allensworth, Amanda Damewood, María Lamadrid, Dan Rademacher, Tim Sinnott, Stephen Smith, Maianna Voge, Yessenia Chaiu Zhang, Susana De Anda, Laurel Firestone, Natalie Garcia-Grazier, Ryan Jensen, Heather Lukacs, David Okita, Debi Ores, Adriana Renteria, Anavel Valdez-Lupercio, Amanda Fencl, Rob Gailey, Carolina Balazs, Kallista Bley, Lara Cushing, Jessica Goddard, Rachel Morello-Frosch, Clare Pace, Jenny Rempel</t>
  </si>
  <si>
    <t>- [Application](https://drinkingwatertool.communitywatercenter.org/)
- [Overview Video](https://drive.google.com/file/d/1PQyXIS9Ty4QcmKgHmp5JXjT9S3T5HgET/view?usp=sharing)</t>
  </si>
  <si>
    <t>GreenInfo Network, Community Water Center, UC Berkeley – Water Equity Science Shop (WESS)</t>
  </si>
  <si>
    <t>gin@greeninfo.org</t>
  </si>
  <si>
    <t>GreenInfo based in Oakland, California. Community Water Center based in Sacramento, California. WESS is based in Berkeley, California</t>
  </si>
  <si>
    <t>A web-based application that puts key water data at the fingertips of the community, so members can explore, understand, and advocate for the safety of their water supplies, with a focus on wells and community water systems that serve populations less than 10,000.</t>
  </si>
  <si>
    <t>The drinking water vulnerability tool focuses on the water data challenge of “Identifying and Understanding What Makes Communities Vulnerable.” The project shows that vulnerability is multi-faceted and can be analyzed at different spatial scales like county boundaries, Groundwater Sustainability Agency (GSA) boundaries, or well locations.  An estimated 1.5-2.5 million people in California rely on unregulated water sources (e.g., wells). These groups face two main vulnerabilities: (1) Vulnerability to water quantity changes: persistent droughts can lead to water scarcity. (2) Vulnerability to water quantity issues: lack of regulation and mobile cancer-causing contaminants (e.g., nitrates and arsenic from agriculture or industrial processes) can contaminate wells.   These vulnerabilities are further compounded by socio-economic constraints which can sometimes compromise all access to water. This project fits in the broader California Data Challenge scope of “Assessing What We Know,” since it brings together a myriad of spatial data from many different California-based organizations to better understand different types of vulnerabilities. The tool helps communities better understand the locations of populations that may be affected by drought and water contamination.</t>
  </si>
  <si>
    <t>Detailed descriptions of the different data layers can be found here: https://drinkingwatertool.communitywatercenter.org/data/
This list is a brief overview of the data layers and source or reference. We used a range of CA.gov resources, including water.ca.gov, data.cnra.ca.gov, oehha.ca.gov, and others.
GSA boundary: California Department of Water Resources SGMA Data viewer
Groundwater depth: CDWR Groundwater Information Center Interactive Map Application
Groundwater basin prioritization level and critically over drafted indicator: SGMA Data viewer
Boundaries and Demographics
County, Assembly District, Senate District, Alluvial
2010 US Census
Public Land Survey System 
Race, ethnicity, median household income, disadvantaged community status etc. for place, tracts and block groups
U.S. Census Bureau, 2013-2017 American Community Survey 5-Year Estimates.
Wells and Drinking Water Systems
Municipal or public supply wells 
Department of Water Resources’ Online System for Well Completion Reports 
Gailey, R. (2019) Public Supply Well Locations. CWC Drinking Water Tool.
Private Well Locations 
Department of Water Resources’ Online System for Well Completion Reports
Pace, C., Balazs, C., Cushing, L., Morello-Frosch, R. (2019). UC Berkeley Water Equity Science Shop. Domestic Well Community Boundaries Version 1.0.
Community water system boundaries 
Tracking California Water System Service Areas Tool
Pace, C., Balazs, C., Cushing, L., Morello-Frosch, R. (2019)  UC Berkeley Water Equity Science Shop. Community Water System Boundaries.
Water Quality (arsenic, nitrates, chromium, 1,2,3-Trichloropropane) 
California Office of Environmental Health Hazard Assessment’s (OEHHA) CalEnviroScreeen (CES) 3.0 dataset
Pace, C., Balazs, C., Cushing, L., Morello-Frosch, R. (2019)  UC Berkeley Water Equity Science Shop. Community Water System Boundaries- Water Quality. Pace, C., Balazs,
C., Cushing, L., Morello-Frosch, R. (2019)  UC Berkeley Water Equity Science Shop. Domestic Well Community Boundaries- Water Quality, Version 1.0.
Some datasets are results of calculations on the datasets. For example, to understand the drought scenarios, the groundwater depths from 2012-2016 are scaled by 0.5, 0.75, 1, where 1 represents the worst drought. Additional description of data and methodology can be found https://drinkingwatertool.communitywatercenter.org/data/
For technology, we built on Wordpress and Django, two widely used open source web platforms. Wordpress allows for flexible content editing and access to a wide range of plugins. Django integrates with Postgres/PostGIS for spatial reporting. We use a range of other open source tools, including Leaflet.js, Bootstrap.js, and Mapserver.</t>
  </si>
  <si>
    <t>The first goal is educational. The tool enables users to learn and discover their water supply system. With a simple interface, the first tool just requires an address. This information allows the user to learn who manages water in their neighborhood and describes the different agencies that may be involved (community water systems, GSAs). This section is informative for users to learn about maximum contaminant levels, consumer confidence reports, and more generally get involved with local water issues.
The second goal is exploratory. With the web mapping tool, users can dive deeper into California's many water data layers. Different users can use the data to learn about water quality and water supply. 
This project is a collaborative, creative, and transparent effort to understand water vulnerability particularly with respect to wells in California. With access to the data, the user can quickly identify many types of vulnerability. For example, the user can explore spatially which community water system is serving disadvantaged communities (socio-economically vulnerable). The user can learn where declining groundwater elevations due to droughts can affect water access (vulnerable to water quantity changes). The user can understand where people are affected by different contaminants (vulnerability to water quality).
The tool has features for many different types of users. Policy and decision makers can use the tool to review groundwater sustainability plans and plan for drought resilient communities. Researchers can quickly download the data to run their own analysis. Residents can enter their addresses and find out who supplies their water.</t>
  </si>
  <si>
    <t>There are many unique features to this project and three to highlight include:
1 - Combining both water quantity and water quality data into one tool showcases the different types of vulnerabilities that can exist and treats water more holistically.
2 –  The entire system is available in both English and Spanish. In a moment where society aims to understand how to be inclusive, particularly when discussing vulnerable communities, the Drinking water vulnerability tool has started to make inclusion a central part of data and design by accommodating the second-largest language spoken in the state (Spanish ~25%).
3 – The tool offers features along a wide range of use cases, from the simple educational information of who provides water at a specific address to the deeper-dive of many data layers combinations and research questions, the tool can serve a very broad group of people and help them better identify water vulnerabilities for others and for themselves.</t>
  </si>
  <si>
    <t>The tool has been used by the Community Water Center’s staff for both community organizing and legislative advocacy. At launch, the tool was covered by Capitol Public Radio (http://www.capradio.org/articles/2020/02/13/california-may-be-sliding-back-into-drought-lawmakers-and-advocates-warn-now-is-the-time-to-prepare/) and KSBW TV in Monterey (https://www.ksbw.com/article/new-online-interactive-tool-helps-californians-prepare-for-future-drought/30900500#).
Residents in places like Twentynine Palms and Ventura can quickly see their water systems have high levels of Hexavalent Chromium (cancer-causing) contamination. Anyone with a domestic well around Chino can learn about risks of high nitrate levels. And residents of the Sacramento Valley can see how their GSAs face higher costs for domestic well remediation than elsewhere in the state.
Drought scenarios are applied in the Central Valley and we can see the impact of increasing drought severity in Fresno, Merced, and Modesto. These cities are already in critically overdrafted basins. By looking at the GSA level scale we can see how the number of impacted domestic wells changes with different scenarios with both Merced and Modesto reaching number of impacted wells at more than 26 the highest category at scenario 100% and Fresno already having this designation at the scenario 50%. With respect to quality, we can explore Arsenic near Mercer where it is present in both community water systems and to a greater extent in groundwater private domestic wells. Atwater just north of Mercer seems to have 1-2-3 Trichlorpropane contamination in both community water systems and in private domestic wells at levels more than 200% the MCL. This area is predominantly Hispanic/Latinx. 
Exploring Atwater offers insights on the relationship between vulnerability and equity since the user can compare the areas that have regulated community water systems and associated 1-2-3 Trichloropropane levels and the surrounding unregulated domestic wells and their associated contamination. Furthermore, the stark distinction in income suggests part of the difference may be socio-economic.</t>
  </si>
  <si>
    <t>Three challenges during the project included:
1 – Aggregating wells to comply with privacy concerns.  Although well data was often available at higher resolution, it was important to aggregate well to US Public Land Survey Systems. This also enabled a calculation of likelihood that an area was served by a well when no well location was available.
2 – Identifying the right audience. One of the difficulties is identifying who the audience and users of the tool will be. This project aimed to build a tool for the general public, but this group may include advocates, policy-makers, researchers. This requires designing different features for different users. Consequently, building something for a general public is the most complicated tool of all to build!
3 – Developing a clear, consistent, and agreed-upon measure of a “safe” or “vulnerable” would make a tool like this much easier for the general public to understand. Without that definition, it’s impossible to present a truly simple and immediately actionable message around “how safe is my water?”</t>
  </si>
  <si>
    <t>Twitter: @greeninfo, @CWaterC, @SHE_Lab__</t>
  </si>
  <si>
    <t>Water_Data_Challenge_Final.mp4
WaterDataChallengeFigs_01022021.png
Atwater-English.png
Atwater-Spanish.png</t>
  </si>
  <si>
    <t>PFAS Analysis and Intervention</t>
  </si>
  <si>
    <t>Melissa Salazar, Albert Chavez</t>
  </si>
  <si>
    <t>- [Application](https://meldataaa.shinyapps.io/PFAS_Analysis_and_Intervention/)
- [GitHub Repository](https://github.com/meldataaa/PFAS_Analysis_and_Intervention)
- [Overview Video](https://drive.google.com/file/d/1P2BAixRCR96YhqvQwzU9XKGUL8I504gi/view?usp=sharing)</t>
  </si>
  <si>
    <t>msalazar@mnwd.com, albertulysseschavez@gmail.com</t>
  </si>
  <si>
    <t>Aliso Viejo, CA, San Jose, CA</t>
  </si>
  <si>
    <t>Bringing awareness to and analyzing a newly researched class of chemicals, PFAS.</t>
  </si>
  <si>
    <t>This project is focusing on Strengthening Data-Enabled Communication: Building Awareness and Engagement. PFAS, or per and poly fluoroalkyl substances is a class of over 4,000 chemicals. Although they have been used since the 1940’s, it is not until recent years that regulations in drinking water have begun. The CA State Water Board began monitoring PFAS in drinking water in the UCMR 3 which then led to quarterly testing in 2019. With this new research and testing comes new data in which we need to analyze.</t>
  </si>
  <si>
    <t>The project’s data is as follows:
Quarterly PFAS Testing 2019: https://www.waterboards.ca.gov/pfas/drinking_water.html
EDT Library, a combination of three tables - chemical, siteloc, storet: https://www.waterboards.ca.gov/drinking_water/certlic/drinkingwater/EDTlibrary.html
Landfill Data: https://www.epa.gov/lmop/project-and-landfill-data-state
CA DTSC Hazardous Waste Sites: https://www.envirostor.dtsc.ca.gov/public/search?cmd=search&amp;reporttype=CORTESE&amp;site_type=CSITES,FUDS&amp;status=ACT,BKLG,COM&amp;reporttitle=HAZARDOUS+WASTE+AND+SUBSTANCES+SITE+LIST+%28CORTESE%29
CA Military Sites: CA Water Boards website, link no longer available.
This project is a continuation of the PFAS– We Eat It, We Drink It, We Breathe It project. This project was made possible through a few datathons in 2019, as well as a proprietary test dataset that has since been published. We took the data format from last year's PFAS project and modeled this year's data after it.</t>
  </si>
  <si>
    <t>The goal of this project is to bring awareness as well as reduce time taken to analyze the data. Although data analytics is a growing field, many water providers may not have the personnel to analyze their test data. With the PFAS Analysis and Intervention Application a user can upload their test data to analyze or look at prior efforts test data.
We have also created a data warehouse using Google BigQuery, to create a dedicated location for our open-source project to pull from actively. The impact of having a dedicated area with reliable data pipelines is the data will be easily updated and available to be used for anyone.</t>
  </si>
  <si>
    <t>Our approach is different because we have gathered, transformed, and made a unique data store that is meant strictly for our application. This application not only analyzes publicly available data, but it can analyze user inputted data. The topic of PFAS is still widely unknown thus why it is compelling. PFAS notification and response levels in drinking water were first set in 2018 and in 2020 the response level was lowered as the PFAS statewide investigation continues.</t>
  </si>
  <si>
    <t>The project leverages historical precipitation data from NOAA, as well as spatial data to visualize what possible sources of PFAS could be in the vicinity of a test site. For some test sites, the precipitation data shows a spike in precipitation, and in the following days, the test data shows a spike in some PFAS levels. Recognizing this pattern can lead to wanting to know if there are landfills in the area causing PFAS leaching. The app provides the necessary precipitation data as well as the landfill locations to this type of analysis.  
If the precipitation data does not spike when there is a rise in PFAS levels, what is the cause? This pattern is the reason why there are other location points such as military sights and DTSC hazardous waste sites also plotted in the vicinity of the test site to possibly identify the source.
The working application is hosted on shinyapp.io: https://meldataaa.shinyapps.io/PFAS_Analysis_and_Intervention/
The GitHub repository can be accessed here: https://github.com/meldataaa/PFAS_Analysis_and_Intervention</t>
  </si>
  <si>
    <t>One challenge we faced early in the project was transforming the data. The data was originally only available in DBF format. We tried to transform the data, but the resulting files were still somewhat corrupt and needed extra cleaning. Luckily, the database files are now available in CSV format, which is easier and more comfortable to use. 
From a data perspective, data is not always readily accessible. Locating the correct data takes the most time. For a while, we could not find the supporting data we needed to complete a feature of the application. We even considered stopping the project. In November, the data we needed was posted, and we started up work again.
The precipitation data is hosted on the National Climatic Data Center which can often be slow and unreliable. When testing the application, we often thought there were issues with the app but the NCDC server was down. If the NCDC server is down the application may not function properly.
For a more significant impact to occur, we would need: 
All publicly available data on a server that is easily queriable to avoid having to periodically download the needed data as well as avoiding the location of data from changing.
Marketing and user research to ensure people know about our project.
More data resources to expand outside of California.</t>
  </si>
  <si>
    <t>@meldataa</t>
  </si>
  <si>
    <t>PFAS_2021.mp4</t>
  </si>
  <si>
    <t>Where’s My Water? : Predicting Renewable Freshwater Resource &amp; Filling in Crucial Data Gaps</t>
  </si>
  <si>
    <t>Krishna Bhogaonker, Xiuyang Guan, Jose Gustavo, Benjamin Kinsella, Indrani Pal, Valerie Were</t>
  </si>
  <si>
    <t>- [Application](https://ca-water-dataviz.herokuapp.com/)
- [Overview Video](https://drive.google.com/file/d/1juwMRD_3ADuF4ZNIPzq6lokuNyaqLpda/view?usp=sharing)</t>
  </si>
  <si>
    <t>HydroDetectus</t>
  </si>
  <si>
    <t>Team email: hydrodetectus@googlegroups.com; Individual: uc.krishnab@gmail.com,xiuyangguan@gmail.com,jgustavo@gmail.com,Kinsella.benjamin@gmail.com,indrani.pal@gmail.com,valeriewere@gmail.com</t>
  </si>
  <si>
    <t>Los Angeles, CA (USA); Boston, Massachusetts (USA, Brazil, Princeton Junction, New Jersey (USA); New York City, New York (USA)</t>
  </si>
  <si>
    <t>Develop a prediction system for and forensically reconstruct statewide renewable freshwater supply data, to help manage water risk in a timely manner - a system that is usable, dynamic in space &amp; time, publicly-available-data-driven, reproducible, and time and resource efficient.</t>
  </si>
  <si>
    <t>We are targeting “Improving the Quality and Usability of Our Data and Metadata” from the 4 challenge topics/questions.   Renewable freshwater resources (RFWR) are critical for managing water risk. While only 2.5% of the Earth’s water is available as freshwater, most of it is inaccessible to humans and only a tiny fraction of it is available in the rivers &amp; streams as usable &amp; renewable supply. As such, the flow of rivers is the best estimate of available RFWR. Globally, however, humans only use less than 10% of the annual discharge in rivers. Then, why is water scarcity still a problem? It is because the water is unequally distributed, both in time and space. In addition, this circulating resource, unlike any other, is heavily modified by climate and human abstractions. While water shapes our society, we shape our water resources.    In California, this challenge is particularly salient. In 2017, the state was still recovering from the recent mega drought, followed by a mega flood, which triggered failure at the state’s largest dam in Oroville and created havoc for emergency managers and planners. Such events will only get worse in the future. Researchers, government, nonprofit, and public initiatives, therefore, seek innovative approaches to help communities across the board deal with any such future events and avoid the negative consequences.    At its root, the problem is the availability of the right kind of data on how much water is available, where it is, and when to expect it. Will there be enough RFWR to grow crops? Where will wildfire fighters find RFWR to protect lives and property? Will there be additional failures to the ancient water infrastructure? River flow data in CA is sporadic. Less than 10% of the locations where we collect river flow data are “naturally flowing”. That means human influence  over 90% of the locations from which we are collecting data become practically unpredictable.  In addition, over 84% locations of the data collection sites across the state have some form of missing data. These data problems are real and need urgent attention.       Adopting an interdisciplinary framework, and using California’s State Water Project - one of the country’s biggest and best managed water sources - our team of subject matter experts, social scientists, and AI-modelers, conducted a year-long project to solve the puzzle. By leveraging a user-centered approach and state-of-the-art applications of Deep Learning, we developed a highly predictive tool and web applications for water managers to strengthen decision making, transform the sector, and identify opportunities for risk mitigation.</t>
  </si>
  <si>
    <t>USGS streamflow data 
https://data.ca.gov/dataset/ca-usgs-watershed-boundary-dataset-12-digit-hydrologic-units
https://data.ca.gov/dataset/watershed-boundary-dataset-wbd
https://data.ca.gov/dataset/national-hydrography-dataset-nhd-archive
Climate data from different sources
Gridmet, PRISM, SMAP
climate.data.gov
Socio-economic datasets :
Water rights records
https://ciwqs.waterboards.ca.gov/ciwqs/ewrims/EWServlet?Redirect_Page=EWWaterRightPublicSearch.jsp&amp;Purpose=getEWAppSearchPage
Water transfers
https://www.waterboards.ca.gov/waterrights/water_issues/programs/water_transfers/
State water contractor agencies
https://swc.org/about-us/
Fully Appropriated Stream Systems
https://www.waterboards.ca.gov/waterrights/water_issues/programs/fully_appropriated_streams/docs/fas_list.pdf
Water Rights Applications: Permitting and Licensing Program
https://www.waterboards.ca.gov/waterrights/water_issues/programs/applications/</t>
  </si>
  <si>
    <t>Goals:
To improve the quality, usability, and reproducibility of RFWR data and data-enabled analysis per the Challenge
To develop a prediction system for RFWR and associated risk, which is usable, dynamic, publicly-available-data-driven, reproducible, AND time and resource efficient
The ability to predict and project renewable freshwater resources has many impacts, which include allowing
Water managers in cities and towns to plan for delivering drinking water to the almost 40 million Californians
Wildfire fighters to plan on where to draw water and where to stage equipment so they can save lives and property
Businesses, such as canoe rental companies, that depend on tourism to plan for their seasons
Farmers to understand how much water will be available for irrigation in a timely manner so they can continue to feed the nation 
Water quality monitors to estimate total maximum daily loads of pollutants, which reflect whether the water body meets standards for public health and healthy ecosystems.</t>
  </si>
  <si>
    <t>Building and deploying a tool to predict renewable freshwater resources requires a multidisciplinary and systems change approach. This system approach, which examined the different elements and their interconnections, make our project compelling and well-positioned to achieve scale and impact. For instance, we have established interdisciplinary partnerships across the environmental, social, and physical sciences. Drawing from a range of theoretical and applied frameworks, we have developed a deep understanding of basic hydrology and the needs of stakeholders, namely water managers. We discovered through field work that water prediction for non-reference (human modified) water locations represents one of the main pain points for water managers, thus impacting decision making in a complex web of water-related initiatives. For this reason, our interdisciplinary and systems-based approach allowed us to discover innovative solutions that we believe will scale across hydrological systems, which exist across the globe.</t>
  </si>
  <si>
    <t>First, we found that we could predict surface water flow much farther into the future than anyone else had done. While the US Forest Service and others make forecasts of up to 6-8 months in advance, our predicted data suggests we can comfortably predict one year into the future. Indeed, we can actually predict one, two or perhaps more years into the future. While there is more uncertainty the farther out the forecast, our models give users the ability to plan for date ranges that they could never access before. Think of the applications for more accurate future forecasts. Firefighters could better plan the placement of equipment to fight fires based on water availability in forest fire zones. Farmers could update their crop choice and planting decisions depending on whether to expect a wetter or dryer year. 
Second, we also found that we could forensically reconstruct the data from impaired or even abandoned surface water flow sensors. About 84% of all water sensors in California have medium to substantial data gaps. Those gaps rendered data from those sensors unusable for climate monitoring or analysis. But using our models, we reconstructed the data for sites with large gaps. Our outputs demonstrate the fine-grained accuracy of our data reconstruction. Using this treasure trove of additional data, we can refine our own forecasts and reduce the uncertainty in our predictions. Further, we plan to release these reconstructed time-series data to the public so that scholars may incorporate this data into their own research.
Our team is committed to public release and public use of our project results. The first component for public use is the interactive web tool, which is currently hosted on a simple Heroku instance. The tool provides a visual front end to display all of the sensor locations, as well as plots of the different model forecasts and data reconstructions. This tool allows non-technical users to locate their nearest sensors and review the surface water forecasts most relevant to their needs. 
Second, we also plan to release our forensically reconstructed sensor datasets for public use, once we have adequately benchmarked our results and allowed for peer review of our methods. However, once these two steps are complete, we look forward to contributing our data to the other publicly available natural resource data portals that inform governmental and business decisions around the State. 
Finally, once our data are publicly released, we plan to offer workshops for interested parties such as the USGS, the California Department of Water Resources, public utilities providers, and any other users interested in water availability in California.</t>
  </si>
  <si>
    <t>Our team tackled multiple challenges, which serve as an exemplary case not just in California, but also around the world. For example, there are many challenges surrounding data quality and availability, which are prevalent in other hydrological systems all around the nation &amp; world. Using state-of-the-art deep learning approaches to identify and augment available data sources was a critical step in building robust predictive models. Furthermore, this team showcases how solving these complex problems requires the integration of multiple stakeholders and social actors, including academics, researchers, government, philanthropy, among others. Getting everyone at the same table is a major challenge in the field. However, our team succeeded by building a nurturing environment for people with a diverse set of skills, which despite being  completely volunteer-driven maintained our relationships, support, and respect for each other's expertise. We believe that our team structure, organization, and governance could serve as an example for similar initiatives.</t>
  </si>
  <si>
    <t>LinkedIn group : https://www.linkedin.com/groups/9024740/ ; Google group email : hydrodetectus@googlegroups.com; Google drive : HydroDetectus</t>
  </si>
  <si>
    <t>CWDC-Vid_try5.mp4
WaterDataChallenge2020-2021_TeamHydroDetectus.pdf</t>
  </si>
  <si>
    <t>Using Smart Drones With Artificial Intelligence To Keep Our Water Safe</t>
  </si>
  <si>
    <t>Santiago Cabalquinto Jr</t>
  </si>
  <si>
    <t>- [Presentation 1](https://drive.google.com/file/d/1jkBKrAvUfAfTpR6v0bky4x0To2iCbXNB/view?usp=sharing)
- [Presentation 2](https://drive.google.com/file/d/1VL5OPcsWrT5miTlCGQNwxNwzOZQw5Gd6/view?usp=sharing)</t>
  </si>
  <si>
    <t>Automated water quality monitoring, proactive alerts, and forecasting must be efficient and also cost-effective using drones and artificial intelligence that work tirelessly and continuously, 24/7.</t>
  </si>
  <si>
    <t>SANTIAGOJR@GRUMPYAMOEBA.COM</t>
  </si>
  <si>
    <t>LAKE ELSINORE, CA</t>
  </si>
  <si>
    <t>AUTOMATED WATER QUALITY MONITORING, PROACTIVE ALERTS, AND FORECASTING MUST BE EFFICIENT AND ALSO COST-EFFECTIVE USING DRONES AND ARTIFICIAL INTELLIGENCE THAT WORK TIRELESSLY AND CONTINUOUSLY, 24/7.</t>
  </si>
  <si>
    <t>Autonomous data collection and reporting from air and water drones requires a lot of CPU and storage for aggregate monitoring and forecasting.  I need to speed up our AI.</t>
  </si>
  <si>
    <t>I'm using common data points, such as water temperature, detectible nutrients, heavy metals, chemicals, presence of algae, etc</t>
  </si>
  <si>
    <t>Determine if the lake is safe for the public to swim, fish, and other water sports.  Have safety information available for the Lake and City manager, to be published on the city's website.</t>
  </si>
  <si>
    <t>The AI + drone can provide "almost-live" status update every hour, including water forecast on a future city website.  "Almost-live" because the drones cannot fly continuously.  Drones need to be recharged.</t>
  </si>
  <si>
    <t>Next steps are to remove the algae from the lake.</t>
  </si>
  <si>
    <t>I need more data points to make the public report meaningful for the public, lake, and city managers.  Make it user friendly like the weather report.  Get acceptance and feedback.</t>
  </si>
  <si>
    <t>none</t>
  </si>
  <si>
    <t>PowerPoint_-_Grumpy_Amoeba_Business_Project_Plan_9-8-20_v1.pdf
PowerPoint_-_Grumpy_Amoeba_AI_and_drone_11-11-20_v1.pdf</t>
  </si>
  <si>
    <t>Water Vulnerability in New Mexico</t>
  </si>
  <si>
    <t>Wesley Chioh, Ana Gomez Lemmen Meyer</t>
  </si>
  <si>
    <t>- [Shiny Dashboard](https://shiny.newmexicowaterdata.org/nmwaterdatachallenge/) 
- [ArcGIS Story Map](https://arcg.is/1Lvi9W0)
- [Github Repo](https://github.com/NMWDI/NMWaterDataChallenge2020)</t>
  </si>
  <si>
    <t>Equity</t>
  </si>
  <si>
    <t>New Mexico - Clean Water</t>
  </si>
  <si>
    <t>wes.chioh@gmail.com; analourdesglm@gmail.com</t>
  </si>
  <si>
    <t>Visualizations that quantify and identify the degree to which communities are vulnerable to threats to their drinking water supply, and intersectionality of systemic socio-economic environmental disadvantages.</t>
  </si>
  <si>
    <t>The U.S. Federal Government under the Trump administration changed the interpretation of the Clean Water Act, thus affecting the protections afforded to waterbodies classified as Waters of the United States. What is unknown, however, is the degree to which communities in New Mexico would be affected by such a change.</t>
  </si>
  <si>
    <t>US Census Bureau data, New Mexico Water Data Initiative</t>
  </si>
  <si>
    <t>Empower citizens and policymakers to identify communities and water bodies that are most vulnerable to changes to the Act's interpretation.</t>
  </si>
  <si>
    <t>1) Created a new Drinking Water Vulnerability Index to rank the Risk to Public Water Systems' Water
2) Adapted United Nations Development Program's Human Development Index from evaluating countries to evaluating each county in NM 
3) Enables policymakers to pinpoint potential policy shortfalls at various levels of state and local government 
4) Visuals were designed in consultation with NM state government officials to ensure that data products designed meet their needs</t>
  </si>
  <si>
    <t>1) NM state government officials have responded favorably and enthusiastically to our products. Our dashboard and story map are now hosted on state government servers and openly accessible to the public. The hope is that educators and local policymakers will start to adopt the resources created for their use! 
2) An open-source code repository on Github was created to facilitate collaboration, sharing, and reproducibility. 
3) We have managed to identify communities and public water systems that are at particular risk due to the intersection of socio-economic disadvantages and environmental injustice.</t>
  </si>
  <si>
    <t>1) Getting up to date data at the appropriate scale (2020 census tract-level Census Data for example) 
2) Translation of dashboard and story map to Spanish will expand accessibility to Spanish-speaking Latinx population in NM 
3) Measure additional risks in index such as impacts to groundwater 
4) Estimate the costs of switching from federal to state oversight</t>
  </si>
  <si>
    <t>SubmissionLinks.txt</t>
  </si>
  <si>
    <t>gspdrywells.com - a decision support tool to estimate well failure in critically overdrafted groundwater basins</t>
  </si>
  <si>
    <t>Rich Pauloo, Amanda Monaco, Darcy Bostic</t>
  </si>
  <si>
    <t>- [Website](https://www.gspdrywells.com/)
- [Overview Video](https://drive.google.com/file/d/1jbgHuAxjyWAICaQb_L_V3ejVB5krgmhx/view?usp=sharing)</t>
  </si>
  <si>
    <t>Water Data Lab</t>
  </si>
  <si>
    <t>richpauloo@gmail.com; amonaco@leadershipcounsel.org; djbostic1@gmail.com</t>
  </si>
  <si>
    <t>Berkeley, CA; Fresno, CA; Topanga, CA</t>
  </si>
  <si>
    <t>gspdrywells is an open source, data visualization web platform for understanding domestic well failure in the San Joaquin Valley across a range of groundwater level management scenarios, including minimum thresholds (MTs) set forth in groundwater sustainability plans (GSPs).</t>
  </si>
  <si>
    <t>Identifying and Understanding What Makes Communities Vulnerable;  Analyzing the Impacts of Natural Resource Regulations and Policy;  Strengthening Data-Enabled Communication: Building Awareness and Engagement</t>
  </si>
  <si>
    <t>We use well completion reports from 943,469 wells from the California Department of Water Resources (https://data.ca.gov/dataset/well-completion-reports), seasonal groundwater level measurements (https://data.cnra.ca.gov/dataset/periodic-groundwater-level-measurements) from the year 2019 in the CA-DWR Periodic Groundwater Level Measurement database, and minimum thresholds reported at representative monitoring points specified in GSPs submitted in critical priority basins. Spatial boundaries for GSPs are provided by the GSP Map Viewer (https://sgma.water.ca.gov/webgis/index.jsp?appid=gasmaster&amp;rz=true). 
This project builds off of work done by:
`function(water, data){science}` in the 2018 California Water Data Challenge (https://findanewway.ca.gov/2018/11/20/cawaterdatachallenge/)
Gailey et al, 2019 (https://link.springer.com/article/10.1007/s10040-019-01929-w)
Pauloo et al., 2020 (https://iopscience.iop.org/article/10.1088/1748-9326/ab6f10/meta), 
Bostic, et al 2020 (https://regionalchange.ucdavis.edu/publication/sustainable-whom-impact-groundwater-sustainability-plans-domestic-wells)
EKI 2020 (https://waterfdn.org/wp-content/uploads/2020/06/Groundwater-Management-and-Safe-Drinking-Water-in-the-San-Joaquin-Valley-Brief-6-2020.pdf)</t>
  </si>
  <si>
    <t xml:space="preserve">This project supports scientific development, democratizes GSP data, and empowers affected communities. This project develops our understanding of the relationships between declining groundwater levels and the scale of well failure, as well as the costs associated with well failure. The easily downloadable data and decision-support tool allows GSAs, the state, and communities to understand this relationship and potentially create policies and programs to protect domestic wells. 
We would like to see this website used widely by community, GSAs, and the state. Already, Leadership Counsel has shared gspdrywells.com with two residents of impacted communities, with staff from the State Water Resources Control Board, and with approximately 15 environmental and social justice organizations. Ideally, communities within the assessed GSPs will be able to understand this component of their GSP and advocate for changes, if needed. Additionally, the methodology and code can be used by anyone currently developing MTs in their GSP boundaries. Finally, DWR can use this information to contextualize their assessment of GSPs in the San Joaquin Valley by understanding the range of options and impacts of 10 - 300ft of groundwater decline below present day levels. </t>
  </si>
  <si>
    <t xml:space="preserve">Our estimates of domestic well failure count, percentage, and cost agree with two other studies (Bostic, et. al. 2020 and EKI 2020), and suggest failure on the order of thousands of wells if groundwater levels fall to minimum threshold levels specified in GSPs. Unlike other studies, gspdrywells.com is web-based, and allows users to run adaptive management scenarios to plan for differing amounts of well failure, all in a web browser. Results suggest that planning and management actions can be taken now to address vulnerabilities before domestic well users lose access to water. With interactive data visualization and a dedicated “Data” subpage with downloadable datasets and model output, gspdrywells.com aims to democratize data and model access, and reduce friction in incorporating domestic well protection measures in the GSP process. 
The results of the project are incredibly timely for current groundwater management processes in the San Joaquin Valley. GSAs are currently starting to implement their Groundwater Sustainability Plans in the San Joaquin Valley. Advocates working alongside low income communities of color have been advocating for years for more protective groundwater management policies and impact mitigation programs. GSAs are often wary to establish impact mitigation programs because of a lack of clear understanding of the costs of such a program. With this tool, agency staff and stakeholders can more clearly understand how much it would likely cost to mitigate dry well impacts, and can more clearly see the financial tradeoffs between setting more protective minimum thresholds and mitigating dry wells. </t>
  </si>
  <si>
    <t>In the critically overdrafted basins examined in this research, we estimate significant domestic well failure if minimum thresholds are reached. On the order of 12-99% wells are projected to fail in individual GSAs, and well failure across all GSAs combined is estimated to be 61-63%, or 9,281 - 9,651 domestic well failures, at a cost of $109.2 - 115.8M. Well failure is most severe in areas where groundwater levels are already low due to historical overdraft, and where large concentrations of relatively shallow domestic wells are located.
Leadership Counsel has shared gspdrywells.com with two residents of impacted communities, with staff from the State Water Resources Control Board, and with approximately 15 environmental and social justice organizations. Residents of impacted communities were glad to see impacts on their drinking water access displayed in such a clear way, and plan to use gspdrywells.com to ask their local agencies for policies and programs that better protect drinking water access. Partner organizations applauded the tool and its interactive features, and have used it to help show the State Water Resources Control Board how widespread and severe the impacts to drinking water access will be in the San Joaquin Valley, and urge the SWRCB’s action to avoid these impacts. Leadership Counsel and two other partner organizations have designed a presentation to GSAs that uses the tool to show local impacts in the GSA area and ask for measures to protect drinking water access. 
All data, code, and methods are available on gspdrywells.com and are easily downloadable. Methods can be used by consultants writing GSPs to assess well failure across many different groundwater decline scenarios, thus simplifying planning and management hurdles that rely on the development of costly well failure models. Municipalities, water districts, and other users of public supply wells can compare their well depths to MTs in their region and perform a localized analysis. The Water Board and DWR can use this tool to assess GSPs in terms of their consideration of the Human Right to Water (HR2W) and ‘significant and unreasonable’ impacts of MTs.</t>
  </si>
  <si>
    <t>We faced methodological challenges in reading and scraping minimum threshold data from PDFs of submitted GSPs, as well as technical challenges in designing and coding a web interface. We decided to move away from the traditional server-UI model, for a JAMStack style static site which reduced loading time, increased site security, and is generally much easier to serve to multiple people at once (better load balancing).
Buy-in from state and local agencies would help scale the project’s impact. We aim to reduce the friction in integrating well protection planning into the GSP framework. We focused on critical priority basins because well failure is expected to be the highest here, and because these GSPs were already written. Moreover, we emphasized domestic wells because these tend to be the most shallow. In the future, we would like to expand our work to encompass public supply wells, and in medium and low priority basins. We believe that by continuing to develop these tools, we will help realize the Human Right to water for underserved Californians in groundwater-dependent regions.
To achieve these goals, additional funding is needed. One potential funding model would include a consortium of participating GSPs who jointly fund the development of these tools, and who share updated MO and MT data as it becomes available to keep the tool up-to-date.</t>
  </si>
  <si>
    <t>@RichPauloo; @AmaM0na; @darcybostic</t>
  </si>
  <si>
    <t>2021-01-30_09-43-27_Trim.mp4
Water_Data_Lab_Team.docx</t>
  </si>
  <si>
    <t>sdwisard - an open source query tool for SDWIS</t>
  </si>
  <si>
    <t>Rich Pauloo, Sadie Gill, Emanuel Rodriguez</t>
  </si>
  <si>
    <t>- [Project Website](https://caopenwater.github.io/sdwisard/)
- [Project Github](https://github.com/CAopenwater/sdwisard)
- [Overview Video](https://youtu.be/BlXSTWCk5O8)</t>
  </si>
  <si>
    <t>CA Open Water</t>
  </si>
  <si>
    <t>richpauloo@gmail.com, sgill@flowwest.com, erodriguez@flowwest.com</t>
  </si>
  <si>
    <t>Berkeley, Sacramento, Sacramento</t>
  </si>
  <si>
    <t>The sdwisard R package is an easy-to-use, open-source query tool for California drinking water quality data in the SDWIS database that enables reproducible analysis.</t>
  </si>
  <si>
    <t>We used California's SDWIS database (https://sdwis.waterboards.ca.gov/PDWW/). This is entirely new work.</t>
  </si>
  <si>
    <t>The sdwisard R package is an easy-to-use, open-source query tool for California drinking water quality data in the SDWIS database. Analysts can use sdwisard to create reproducible, open-source workflows that rapidly and programmatically acquire machine-readable, pre-cleaned, drinking water quality data. Our goal is to demonstrate a modern and reproducible data workflow centered around APIs, databases, and code. 
We aim to shift the conversation about data warehousing towards the use of modern API infrastructure by demonstrating what can be done if this infrastructure were already in place. An API wrapper is but one example. With a SDWIS API in place, any web service, researcher, or analyst could make requests for data from that API. Thus, sdwisard presents a case for a SDWIS external API, and also provides a tool that analysts, data scientists, and researchers can use today to improve the reproducibility of their workflows. Because the tool is open source, anyone can improve this tool and contribute to our CA Open Water Github organizational profile.</t>
  </si>
  <si>
    <t>In California, present sources of water quality information are fragmented across thousands of water utilities and lack consistency and clarity. Moreover, although the state has identified open and transparent water data as critical to inform water management and achieve goals set in Human Right to Water, analysts remain hampered by a paucity of easy-to-use, open-source tools to acquire and analyze water quality data.
Sdwisard demonstrates the utility of easy-to-use API wrappers that empower analysts to get more done with data with less effort. Because the tool is open source, anyone can improve this tool and contribute to our CA Open Water Github organizational profile.</t>
  </si>
  <si>
    <t>We developed a website for the v0.1 release of the sdwisard software (https://caopenwater.github.io/sdwisard/index.html), that includes installation instructions and a getting started vignette that explains how to use the tool. The github page with the R code for this project is here: https://github.com/CAopenwater/sdwisard, and the source code is available under the Creative Commons License: https://caopenwater.github.io/sdwisard/LICENSE.html</t>
  </si>
  <si>
    <t>SDWIS does not have an API. We wanted to demonstrate why an API is important by developing one example of a tool (e.g., sdwisard) that could exist if the API was real. How do you build a query tool without an API? The answer, is to build a faux-API and a query tool around that faux-API. We used an s3 bucket on Amazon Web Services to host clean SDWIS data, and designed sdwisard to operate as if it were querying a real API. If and when the SDWIS API becomes a real thing, it will be relatively easy to direct the endpoints in sdwisard towards the real API.
To scale our project for greater impact, we need a real-life SDWIS API and the broad use of sdwisard as a tool for fetching SDWIS data. Before the API is built, we need resources to pay for requests that people make to the s3 bucket where data is currently hosted (these costs are minimal, but could become significant if the tool was broadly used).</t>
  </si>
  <si>
    <t>@RichPauloo (Twitter, github), @thesadie (github), @ergz (github)</t>
  </si>
  <si>
    <t>sdwisard_intro.docx</t>
  </si>
  <si>
    <t>award_name</t>
  </si>
  <si>
    <t>award_badge</t>
  </si>
  <si>
    <t>award_description</t>
  </si>
  <si>
    <t>\U0001F3C6</t>
  </si>
  <si>
    <t>This award is new in 2019 and it aims to recognize the importance of scalability. The project that gets this award demonstrates impact at more than one scale and should have characteristics that reflect the success gained from iterating over multiple engagements with multiple parties at different scales.</t>
  </si>
  <si>
    <t>To honor the team that has had the most impact on communities and their interests, we are excited to announce the inaugural Enduring Civic Engagement Award. This award recognizes the importance of iteration, the value of gathering civic interests and honoring the community perspective on water data value.</t>
  </si>
  <si>
    <t>As part of a call for commitments to further support the role of a data to solve water challenges, Imagine H2O awarded $1,500 cash and select accelerator services to one team from the Challenge whose solution best meets the following criteria:
- Impact - improves drinking water access and resiliency
- Scalability - enables broad deployment of drinking water solutions
- Innovation - sets forth a unique solution</t>
  </si>
  <si>
    <t>This award looks at the most ambitious or highest potential for large impact as well as compelling concept and Creativity in approach.</t>
  </si>
  <si>
    <t>This award is intended to recognize projects that effectively integrate data from different sources or organizations, including their own data.</t>
  </si>
  <si>
    <t>People's Choice</t>
  </si>
  <si>
    <t>This award recognizes the project that has received the most votes from the summit's in-person participants.</t>
  </si>
  <si>
    <t>This award looks at feasibility of implementation. It addresses real-world needs relevant to drinking water issues, demonstrating an understanding of constraints, including cost of implementation. It works “as is”, and has some level of interoperability with existing work or systems.</t>
  </si>
  <si>
    <t>This award is intended to recognize an emerging group of leaders in the water, technology, or innovation fields. The team demonstrated an innovative approach, has high leadership potential, and a diversity of organizations.</t>
  </si>
  <si>
    <t>Overall winner of the competition.</t>
  </si>
  <si>
    <t>topic_name</t>
  </si>
  <si>
    <t>topic_description</t>
  </si>
  <si>
    <t>Is water affordable? For many people, the answer is: unfortunately, not really.
These projects focus on using existing water data to quantify the economic impact of water on people and communities using it.</t>
  </si>
  <si>
    <t>Projects concerning groundwater.</t>
  </si>
  <si>
    <t>These projects study the status of water infrastructure in California.</t>
  </si>
  <si>
    <t>Devices, software, and protocols, to enable better water data collection, processing, and analysis.</t>
  </si>
  <si>
    <t>event_year</t>
  </si>
  <si>
    <t>event_name</t>
  </si>
  <si>
    <t>event_description</t>
  </si>
  <si>
    <t>projects_count</t>
  </si>
  <si>
    <t>- [Event Website](https://www.waterboards.ca.gov/resources/data_databases/data_innov_challenge.html)</t>
  </si>
  <si>
    <t>- [Event Announcement (White House)](https://obamawhitehouse.archives.gov/blog/2016/10/28/using-data-build-sustainable-water-future)
- [Event Announcement (CA Water Board)](https://www.waterboards.ca.gov/press_room/press_releases/2016/pr102816_data_challenge.pdf)
- [Winners and Event Recap](https://www.waterboards.ca.gov/press_room/press_releases/2016/pr121516.pdf)</t>
  </si>
</sst>
</file>

<file path=xl/styles.xml><?xml version="1.0" encoding="utf-8"?>
<styleSheet xmlns="http://schemas.openxmlformats.org/spreadsheetml/2006/main" xmlns:x14ac="http://schemas.microsoft.com/office/spreadsheetml/2009/9/ac" xmlns:mc="http://schemas.openxmlformats.org/markup-compatibility/2006">
  <fonts count="9">
    <font>
      <sz val="11.0"/>
      <color theme="1"/>
      <name val="Calibri"/>
      <scheme val="minor"/>
    </font>
    <font>
      <sz val="11.0"/>
      <color theme="1"/>
      <name val="Calibri"/>
    </font>
    <font>
      <b/>
      <sz val="11.0"/>
      <color theme="1"/>
      <name val="Calibri"/>
    </font>
    <font>
      <sz val="10.0"/>
      <color theme="1"/>
      <name val="Calibri"/>
    </font>
    <font>
      <u/>
      <sz val="10.0"/>
      <color theme="10"/>
      <name val="Calibri"/>
    </font>
    <font>
      <u/>
      <sz val="11.0"/>
      <color theme="10"/>
      <name val="Calibri"/>
    </font>
    <font>
      <u/>
      <sz val="11.0"/>
      <color theme="1"/>
      <name val="Calibri"/>
    </font>
    <font>
      <u/>
      <sz val="11.0"/>
      <color rgb="FF0000FF"/>
      <name val="Calibri"/>
    </font>
    <font>
      <color theme="1"/>
      <name val="Calibri"/>
      <scheme val="minor"/>
    </font>
  </fonts>
  <fills count="8">
    <fill>
      <patternFill patternType="none"/>
    </fill>
    <fill>
      <patternFill patternType="lightGray"/>
    </fill>
    <fill>
      <patternFill patternType="solid">
        <fgColor rgb="FFFFFF00"/>
        <bgColor rgb="FFFFFF00"/>
      </patternFill>
    </fill>
    <fill>
      <patternFill patternType="solid">
        <fgColor rgb="FFBFBFBF"/>
        <bgColor rgb="FFBFBFBF"/>
      </patternFill>
    </fill>
    <fill>
      <patternFill patternType="solid">
        <fgColor rgb="FF548DD4"/>
        <bgColor rgb="FF548DD4"/>
      </patternFill>
    </fill>
    <fill>
      <patternFill patternType="solid">
        <fgColor rgb="FFB2A1C7"/>
        <bgColor rgb="FFB2A1C7"/>
      </patternFill>
    </fill>
    <fill>
      <patternFill patternType="solid">
        <fgColor theme="9"/>
        <bgColor theme="9"/>
      </patternFill>
    </fill>
    <fill>
      <patternFill patternType="solid">
        <fgColor rgb="FF92D050"/>
        <bgColor rgb="FF92D050"/>
      </patternFill>
    </fill>
  </fills>
  <borders count="3">
    <border/>
    <border>
      <left/>
      <right/>
      <top/>
      <bottom/>
    </border>
    <border>
      <left style="thin">
        <color rgb="FFBFBFBF"/>
      </left>
      <right style="thin">
        <color rgb="FFBFBFBF"/>
      </right>
      <top style="thin">
        <color rgb="FFBFBFBF"/>
      </top>
      <bottom style="thin">
        <color rgb="FFBFBFBF"/>
      </bottom>
    </border>
  </borders>
  <cellStyleXfs count="1">
    <xf borderId="0" fillId="0" fontId="0" numFmtId="0" applyAlignment="1" applyFont="1"/>
  </cellStyleXfs>
  <cellXfs count="23">
    <xf borderId="0" fillId="0" fontId="0" numFmtId="0" xfId="0" applyAlignment="1" applyFont="1">
      <alignment readingOrder="0" shrinkToFit="0" vertical="bottom" wrapText="0"/>
    </xf>
    <xf borderId="0" fillId="0" fontId="1" numFmtId="0" xfId="0" applyAlignment="1" applyFont="1">
      <alignment shrinkToFit="0" wrapText="1"/>
    </xf>
    <xf quotePrefix="1" borderId="0" fillId="0" fontId="1" numFmtId="0" xfId="0" applyAlignment="1" applyFont="1">
      <alignment shrinkToFit="0" wrapText="1"/>
    </xf>
    <xf borderId="1" fillId="2" fontId="2" numFmtId="0" xfId="0" applyAlignment="1" applyBorder="1" applyFill="1" applyFont="1">
      <alignment horizontal="center" shrinkToFit="0" wrapText="1"/>
    </xf>
    <xf borderId="1" fillId="3" fontId="2" numFmtId="0" xfId="0" applyAlignment="1" applyBorder="1" applyFill="1" applyFont="1">
      <alignment horizontal="center" shrinkToFit="0" wrapText="1"/>
    </xf>
    <xf borderId="1" fillId="4" fontId="1" numFmtId="0" xfId="0" applyAlignment="1" applyBorder="1" applyFill="1" applyFont="1">
      <alignment shrinkToFit="0" wrapText="1"/>
    </xf>
    <xf borderId="2" fillId="0" fontId="3" numFmtId="0" xfId="0" applyAlignment="1" applyBorder="1" applyFont="1">
      <alignment horizontal="center" shrinkToFit="0" vertical="center" wrapText="1"/>
    </xf>
    <xf borderId="2" fillId="0" fontId="3" numFmtId="0" xfId="0" applyAlignment="1" applyBorder="1" applyFont="1">
      <alignment shrinkToFit="0" vertical="center" wrapText="1"/>
    </xf>
    <xf quotePrefix="1" borderId="0" fillId="0" fontId="1" numFmtId="0" xfId="0" applyAlignment="1" applyFont="1">
      <alignment readingOrder="0" shrinkToFit="0" wrapText="1"/>
    </xf>
    <xf borderId="2" fillId="0" fontId="4" numFmtId="0" xfId="0" applyAlignment="1" applyBorder="1" applyFont="1">
      <alignment horizontal="center" shrinkToFit="0" vertical="center" wrapText="1"/>
    </xf>
    <xf borderId="0" fillId="0" fontId="5" numFmtId="0" xfId="0" applyAlignment="1" applyFont="1">
      <alignment shrinkToFit="0" wrapText="1"/>
    </xf>
    <xf borderId="2" fillId="0" fontId="3" numFmtId="0" xfId="0" applyAlignment="1" applyBorder="1" applyFont="1">
      <alignment vertical="center"/>
    </xf>
    <xf borderId="1" fillId="5" fontId="1" numFmtId="0" xfId="0" applyAlignment="1" applyBorder="1" applyFill="1" applyFont="1">
      <alignment shrinkToFit="0" wrapText="1"/>
    </xf>
    <xf quotePrefix="1" borderId="0" fillId="0" fontId="6" numFmtId="0" xfId="0" applyAlignment="1" applyFont="1">
      <alignment readingOrder="0" shrinkToFit="0" wrapText="1"/>
    </xf>
    <xf borderId="0" fillId="0" fontId="1" numFmtId="0" xfId="0" applyAlignment="1" applyFont="1">
      <alignment readingOrder="0" shrinkToFit="0" wrapText="1"/>
    </xf>
    <xf borderId="0" fillId="0" fontId="7" numFmtId="0" xfId="0" applyAlignment="1" applyFont="1">
      <alignment readingOrder="0" shrinkToFit="0" wrapText="1"/>
    </xf>
    <xf borderId="0" fillId="0" fontId="1" numFmtId="0" xfId="0" applyAlignment="1" applyFont="1">
      <alignment readingOrder="0" shrinkToFit="0" wrapText="1"/>
    </xf>
    <xf borderId="1" fillId="6" fontId="1" numFmtId="0" xfId="0" applyAlignment="1" applyBorder="1" applyFill="1" applyFont="1">
      <alignment shrinkToFit="0" wrapText="1"/>
    </xf>
    <xf borderId="1" fillId="7" fontId="1" numFmtId="0" xfId="0" applyAlignment="1" applyBorder="1" applyFill="1" applyFont="1">
      <alignment shrinkToFit="0" wrapText="1"/>
    </xf>
    <xf borderId="1" fillId="2" fontId="2" numFmtId="0" xfId="0" applyAlignment="1" applyBorder="1" applyFont="1">
      <alignment horizontal="center"/>
    </xf>
    <xf borderId="0" fillId="0" fontId="2" numFmtId="0" xfId="0" applyAlignment="1" applyFont="1">
      <alignment horizontal="center"/>
    </xf>
    <xf borderId="0" fillId="0" fontId="8" numFmtId="0" xfId="0" applyFont="1"/>
    <xf borderId="1" fillId="3" fontId="2" numFmtId="0" xfId="0" applyAlignment="1" applyBorder="1" applyFont="1">
      <alignment horizontal="center"/>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customschemas.google.com/relationships/workbookmetadata" Target="metadata"/><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40" Type="http://schemas.openxmlformats.org/officeDocument/2006/relationships/hyperlink" Target="https://drive.google.com/file/d/0B5n4IeHrVBinWnN2eWVHM1g4aFE/view?resourcekey=0-HcUn236odEPuW98wyUUuyQ" TargetMode="External"/><Relationship Id="rId42" Type="http://schemas.openxmlformats.org/officeDocument/2006/relationships/hyperlink" Target="http://kyliepace.github.io/waterChallenge" TargetMode="External"/><Relationship Id="rId41" Type="http://schemas.openxmlformats.org/officeDocument/2006/relationships/hyperlink" Target="http://map.waterauditca.org/" TargetMode="External"/><Relationship Id="rId44" Type="http://schemas.openxmlformats.org/officeDocument/2006/relationships/hyperlink" Target="https://drive.google.com/file/d/0B5n4IeHrVBinODNsWnpxLUQwRms/view?resourcekey=0-JrFW-I6y4YRQgYT00-Kw8g" TargetMode="External"/><Relationship Id="rId43" Type="http://schemas.openxmlformats.org/officeDocument/2006/relationships/hyperlink" Target="https://drive.google.com/file/d/0B5n4IeHrVBinWXBxa2lCSkZ1dlk/view?resourcekey=0-oKk-NdHuG7_7FsvExBIIgg" TargetMode="External"/><Relationship Id="rId46" Type="http://schemas.openxmlformats.org/officeDocument/2006/relationships/hyperlink" Target="http://storageaf.wixsite.com/shastadam" TargetMode="External"/><Relationship Id="rId45" Type="http://schemas.openxmlformats.org/officeDocument/2006/relationships/hyperlink" Target="https://drive.google.com/open?id=0B5n4IeHrVBineUxWR25HTWNTZzQ" TargetMode="External"/><Relationship Id="rId1" Type="http://schemas.openxmlformats.org/officeDocument/2006/relationships/comments" Target="../comments1.xml"/><Relationship Id="rId2" Type="http://schemas.openxmlformats.org/officeDocument/2006/relationships/hyperlink" Target="http://wqexplorer.cloudcompli.com/paper" TargetMode="External"/><Relationship Id="rId3" Type="http://schemas.openxmlformats.org/officeDocument/2006/relationships/hyperlink" Target="http://wqexplorer.cloudcompli.com/" TargetMode="External"/><Relationship Id="rId4" Type="http://schemas.openxmlformats.org/officeDocument/2006/relationships/hyperlink" Target="https://github.com/cloudcompli/wqexplorer" TargetMode="External"/><Relationship Id="rId9" Type="http://schemas.openxmlformats.org/officeDocument/2006/relationships/hyperlink" Target="https://github.com/ucd-cwee/greengov-challenge" TargetMode="External"/><Relationship Id="rId48" Type="http://schemas.openxmlformats.org/officeDocument/2006/relationships/drawing" Target="../drawings/drawing2.xml"/><Relationship Id="rId47" Type="http://schemas.openxmlformats.org/officeDocument/2006/relationships/hyperlink" Target="https://drive.google.com/file/d/0B5n4IeHrVBinaWRleWZ1QVJRZ0k/view?resourcekey=0-eZCjxx_PJjVAxJ_nnHIdXA" TargetMode="External"/><Relationship Id="rId49" Type="http://schemas.openxmlformats.org/officeDocument/2006/relationships/vmlDrawing" Target="../drawings/vmlDrawing1.vml"/><Relationship Id="rId5" Type="http://schemas.openxmlformats.org/officeDocument/2006/relationships/hyperlink" Target="https://github.com/cloudcompli/wqinspector" TargetMode="External"/><Relationship Id="rId6" Type="http://schemas.openxmlformats.org/officeDocument/2006/relationships/hyperlink" Target="http://www.waterboards.ca.gov/resources/data_databases/docs/aggregatingdata_pres.mp4" TargetMode="External"/><Relationship Id="rId7" Type="http://schemas.openxmlformats.org/officeDocument/2006/relationships/hyperlink" Target="http://www.waterboards.ca.gov/resources/data_databases/docs/aggregatingdata.pdf" TargetMode="External"/><Relationship Id="rId8" Type="http://schemas.openxmlformats.org/officeDocument/2006/relationships/hyperlink" Target="https://cwee.shinyapps.io/greengov/" TargetMode="External"/><Relationship Id="rId31" Type="http://schemas.openxmlformats.org/officeDocument/2006/relationships/hyperlink" Target="http://rainsphere.eng.uci.edu/" TargetMode="External"/><Relationship Id="rId30" Type="http://schemas.openxmlformats.org/officeDocument/2006/relationships/hyperlink" Target="https://drive.google.com/file/d/0B5n4IeHrVBinS1FyeEJkMHdaZ2c/view?resourcekey=0-YQ2WWx4xoOPwoTJXYIMr9Q" TargetMode="External"/><Relationship Id="rId33" Type="http://schemas.openxmlformats.org/officeDocument/2006/relationships/hyperlink" Target="https://github.com/bayesimpact/water" TargetMode="External"/><Relationship Id="rId32" Type="http://schemas.openxmlformats.org/officeDocument/2006/relationships/hyperlink" Target="https://drive.google.com/file/d/0B5n4IeHrVBinVlhwSkVWZ1l1Ukk/view?resourcekey=0-P4i2jPBw4GYnAwVu6dArCg" TargetMode="External"/><Relationship Id="rId35" Type="http://schemas.openxmlformats.org/officeDocument/2006/relationships/hyperlink" Target="https://drive.google.com/file/d/0B5n4IeHrVBinRllSY004WFd4X0U/view?resourcekey=0-SblfcotEzjAQPVxJcYg1jQ" TargetMode="External"/><Relationship Id="rId34" Type="http://schemas.openxmlformats.org/officeDocument/2006/relationships/hyperlink" Target="https://drive.google.com/file/d/0B5n4IeHrVBinMGxtcVp0M1YtbDQ/view?resourcekey=0-fDKdS5WlG96ZJQZpvABRpA" TargetMode="External"/><Relationship Id="rId37" Type="http://schemas.openxmlformats.org/officeDocument/2006/relationships/hyperlink" Target="https://drive.google.com/open?id=0B5n4IeHrVBinT3NlRndpam85Y2c" TargetMode="External"/><Relationship Id="rId36" Type="http://schemas.openxmlformats.org/officeDocument/2006/relationships/hyperlink" Target="https://github.com/patriciagm4/ca-data-challenge" TargetMode="External"/><Relationship Id="rId39" Type="http://schemas.openxmlformats.org/officeDocument/2006/relationships/hyperlink" Target="https://drive.google.com/file/d/0B5n4IeHrVBinY1JIOFlxUkNXajQ/view?resourcekey=0-qQlutJZZ07waa9rqy1hPHQ" TargetMode="External"/><Relationship Id="rId38" Type="http://schemas.openxmlformats.org/officeDocument/2006/relationships/hyperlink" Target="https://flowwest.shinyapps.io/flowwest_floodplain_habitat_finder/" TargetMode="External"/><Relationship Id="rId20" Type="http://schemas.openxmlformats.org/officeDocument/2006/relationships/hyperlink" Target="http://www.civicdashboards.com/project/cawater" TargetMode="External"/><Relationship Id="rId22" Type="http://schemas.openxmlformats.org/officeDocument/2006/relationships/hyperlink" Target="http://www.waterboards.ca.gov/resources/data_databases/docs/demwaterdata_pres.mp4" TargetMode="External"/><Relationship Id="rId21" Type="http://schemas.openxmlformats.org/officeDocument/2006/relationships/hyperlink" Target="http://catalog.civicdashboards.com/dataset/water-data-with-demographics" TargetMode="External"/><Relationship Id="rId24" Type="http://schemas.openxmlformats.org/officeDocument/2006/relationships/hyperlink" Target="https://public.tableau.com/profile/mark.tompkins" TargetMode="External"/><Relationship Id="rId23" Type="http://schemas.openxmlformats.org/officeDocument/2006/relationships/hyperlink" Target="http://www.waterboards.ca.gov/resources/data_databases/docs/demwaterdata.pdf" TargetMode="External"/><Relationship Id="rId26" Type="http://schemas.openxmlformats.org/officeDocument/2006/relationships/hyperlink" Target="http://www.waterboards.ca.gov/resources/data_databases/docs/endora_pres.mp4" TargetMode="External"/><Relationship Id="rId25" Type="http://schemas.openxmlformats.org/officeDocument/2006/relationships/hyperlink" Target="http://www.waterboards.ca.gov/resources/data_databases/docs/bioassesswq_pres.mp4" TargetMode="External"/><Relationship Id="rId28" Type="http://schemas.openxmlformats.org/officeDocument/2006/relationships/hyperlink" Target="https://tableau.stg.tabordasolutions.net/t/WaterBoardDataInnovationChallenge/views/WaterBoardDataInnovationChallenge/WaterAcidity?%3Aembed=y&amp;%3AshowShareOptions=true&amp;%3Adisplay_count=no&amp;%3AshowVizHome=no" TargetMode="External"/><Relationship Id="rId27" Type="http://schemas.openxmlformats.org/officeDocument/2006/relationships/hyperlink" Target="http://www.waterboards.ca.gov/resources/data_databases/docs/endora.pdf" TargetMode="External"/><Relationship Id="rId29" Type="http://schemas.openxmlformats.org/officeDocument/2006/relationships/hyperlink" Target="http://www.waterboards.ca.gov/resources/data_databases/docs/wateracidity.pdf" TargetMode="External"/><Relationship Id="rId11" Type="http://schemas.openxmlformats.org/officeDocument/2006/relationships/hyperlink" Target="http://www.waterboards.ca.gov/resources/data_databases/docs/cah2open.pdf" TargetMode="External"/><Relationship Id="rId10" Type="http://schemas.openxmlformats.org/officeDocument/2006/relationships/hyperlink" Target="http://www.waterboards.ca.gov/resources/data_databases/docs/cah2open_pres.mp4" TargetMode="External"/><Relationship Id="rId13" Type="http://schemas.openxmlformats.org/officeDocument/2006/relationships/hyperlink" Target="http://www.waterboards.ca.gov/resources/data_databases/docs/microsoft_pres.mp4" TargetMode="External"/><Relationship Id="rId12" Type="http://schemas.openxmlformats.org/officeDocument/2006/relationships/hyperlink" Target="https://msit.powerbi.com/view?r=eyJrIjoiNDUwMDIyN2UtM2E2OC00ZTBlLWEwYjYtMzgzMDllY2M3OTYwIiwidCI6IjcyZjk4OGJmLTg2ZjEtNDFhZi05MWFiLTJkN2NkMDExZGI0NyIsImMiOjV9" TargetMode="External"/><Relationship Id="rId15" Type="http://schemas.openxmlformats.org/officeDocument/2006/relationships/hyperlink" Target="https://public.tableau.com/profile/roy.fleshman" TargetMode="External"/><Relationship Id="rId14" Type="http://schemas.openxmlformats.org/officeDocument/2006/relationships/hyperlink" Target="http://www.waterboards.ca.gov/resources/data_databases/docs/mscortana.pdf" TargetMode="External"/><Relationship Id="rId17" Type="http://schemas.openxmlformats.org/officeDocument/2006/relationships/hyperlink" Target="http://www.waterboards.ca.gov/resources/data_databases/docs/damsofca.pdf" TargetMode="External"/><Relationship Id="rId16" Type="http://schemas.openxmlformats.org/officeDocument/2006/relationships/hyperlink" Target="http://www.waterboards.ca.gov/resources/data_databases/docs/damsofca_pres.mp4" TargetMode="External"/><Relationship Id="rId19" Type="http://schemas.openxmlformats.org/officeDocument/2006/relationships/hyperlink" Target="http://www.waterboards.ca.gov/resources/data_databases/docs/prelimanalysis.pdf" TargetMode="External"/><Relationship Id="rId18" Type="http://schemas.openxmlformats.org/officeDocument/2006/relationships/hyperlink" Target="http://www.waterboards.ca.gov/resources/data_databases/docs/prelimanalysis_pres.mp4" TargetMode="External"/></Relationships>
</file>

<file path=xl/worksheets/_rels/sheet3.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3.xml"/><Relationship Id="rId3"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4.14"/>
    <col customWidth="1" min="2" max="26" width="8.71"/>
  </cols>
  <sheetData>
    <row r="1" ht="14.25" customHeight="1">
      <c r="A1" s="1" t="s">
        <v>0</v>
      </c>
    </row>
    <row r="2" ht="14.25" customHeight="1">
      <c r="A2" s="2" t="s">
        <v>1</v>
      </c>
    </row>
    <row r="3" ht="14.25" customHeight="1">
      <c r="A3" s="2" t="s">
        <v>2</v>
      </c>
    </row>
    <row r="4" ht="14.25" customHeight="1">
      <c r="A4" s="2" t="s">
        <v>3</v>
      </c>
    </row>
    <row r="5" ht="14.25" customHeight="1">
      <c r="A5" s="2" t="s">
        <v>4</v>
      </c>
    </row>
    <row r="6" ht="14.25" customHeight="1">
      <c r="A6" s="2" t="s">
        <v>5</v>
      </c>
    </row>
    <row r="7" ht="14.25" customHeight="1">
      <c r="A7" s="1"/>
    </row>
    <row r="8" ht="14.25" customHeight="1">
      <c r="A8" s="1"/>
    </row>
    <row r="9" ht="14.25" customHeight="1">
      <c r="A9" s="1"/>
    </row>
    <row r="10" ht="14.25" customHeight="1">
      <c r="A10" s="1"/>
    </row>
    <row r="11" ht="14.25" customHeight="1">
      <c r="A11" s="1"/>
    </row>
    <row r="12" ht="14.25" customHeight="1">
      <c r="A12" s="1"/>
    </row>
    <row r="13" ht="14.25" customHeight="1">
      <c r="A13" s="1"/>
    </row>
    <row r="14" ht="14.25" customHeight="1">
      <c r="A14" s="1"/>
    </row>
    <row r="15" ht="14.25" customHeight="1">
      <c r="A15" s="1"/>
    </row>
    <row r="16" ht="14.25" customHeight="1">
      <c r="A16" s="1"/>
    </row>
    <row r="17" ht="14.25" customHeight="1">
      <c r="A17" s="1"/>
    </row>
    <row r="18" ht="14.25" customHeight="1">
      <c r="A18" s="1"/>
    </row>
    <row r="19" ht="14.25" customHeight="1">
      <c r="A19" s="1"/>
    </row>
    <row r="20" ht="14.25" customHeight="1">
      <c r="A20" s="1"/>
    </row>
    <row r="21" ht="14.25" customHeight="1">
      <c r="A21" s="1"/>
    </row>
    <row r="22" ht="14.25" customHeight="1">
      <c r="A22" s="1"/>
    </row>
    <row r="23" ht="14.25" customHeight="1">
      <c r="A23" s="1"/>
    </row>
    <row r="24" ht="14.25" customHeight="1">
      <c r="A24" s="1"/>
    </row>
    <row r="25" ht="14.25" customHeight="1">
      <c r="A25" s="1"/>
    </row>
    <row r="26" ht="14.25" customHeight="1">
      <c r="A26" s="1"/>
    </row>
    <row r="27" ht="14.25" customHeight="1">
      <c r="A27" s="1"/>
    </row>
    <row r="28" ht="14.25" customHeight="1">
      <c r="A28" s="1"/>
    </row>
    <row r="29" ht="14.25" customHeight="1">
      <c r="A29" s="1"/>
    </row>
    <row r="30" ht="14.25" customHeight="1">
      <c r="A30" s="1"/>
    </row>
    <row r="31" ht="14.25" customHeight="1">
      <c r="A31" s="1"/>
    </row>
    <row r="32" ht="14.25" customHeight="1">
      <c r="A32" s="1"/>
    </row>
    <row r="33" ht="14.25" customHeight="1">
      <c r="A33" s="1"/>
    </row>
    <row r="34" ht="14.25" customHeight="1">
      <c r="A34" s="1"/>
    </row>
    <row r="35" ht="14.25" customHeight="1">
      <c r="A35" s="1"/>
    </row>
    <row r="36" ht="14.25" customHeight="1">
      <c r="A36" s="1"/>
    </row>
    <row r="37" ht="14.25" customHeight="1">
      <c r="A37" s="1"/>
    </row>
    <row r="38" ht="14.25" customHeight="1">
      <c r="A38" s="1"/>
    </row>
    <row r="39" ht="14.25" customHeight="1">
      <c r="A39" s="1"/>
    </row>
    <row r="40" ht="14.25" customHeight="1">
      <c r="A40" s="1"/>
    </row>
    <row r="41" ht="14.25" customHeight="1">
      <c r="A41" s="1"/>
    </row>
    <row r="42" ht="14.25" customHeight="1">
      <c r="A42" s="1"/>
    </row>
    <row r="43" ht="14.25" customHeight="1">
      <c r="A43" s="1"/>
    </row>
    <row r="44" ht="14.25" customHeight="1">
      <c r="A44" s="1"/>
    </row>
    <row r="45" ht="14.25" customHeight="1">
      <c r="A45" s="1"/>
    </row>
    <row r="46" ht="14.25" customHeight="1">
      <c r="A46" s="1"/>
    </row>
    <row r="47" ht="14.25" customHeight="1">
      <c r="A47" s="1"/>
    </row>
    <row r="48" ht="14.25" customHeight="1">
      <c r="A48" s="1"/>
    </row>
    <row r="49" ht="14.25" customHeight="1">
      <c r="A49" s="1"/>
    </row>
    <row r="50" ht="14.25" customHeight="1">
      <c r="A50" s="1"/>
    </row>
    <row r="51" ht="14.25" customHeight="1">
      <c r="A51" s="1"/>
    </row>
    <row r="52" ht="14.25" customHeight="1">
      <c r="A52" s="1"/>
    </row>
    <row r="53" ht="14.25" customHeight="1">
      <c r="A53" s="1"/>
    </row>
    <row r="54" ht="14.25" customHeight="1">
      <c r="A54" s="1"/>
    </row>
    <row r="55" ht="14.25" customHeight="1">
      <c r="A55" s="1"/>
    </row>
    <row r="56" ht="14.25" customHeight="1">
      <c r="A56" s="1"/>
    </row>
    <row r="57" ht="14.25" customHeight="1">
      <c r="A57" s="1"/>
    </row>
    <row r="58" ht="14.25" customHeight="1">
      <c r="A58" s="1"/>
    </row>
    <row r="59" ht="14.25" customHeight="1">
      <c r="A59" s="1"/>
    </row>
    <row r="60" ht="14.25" customHeight="1">
      <c r="A60" s="1"/>
    </row>
    <row r="61" ht="14.25" customHeight="1">
      <c r="A61" s="1"/>
    </row>
    <row r="62" ht="14.25" customHeight="1">
      <c r="A62" s="1"/>
    </row>
    <row r="63" ht="14.25" customHeight="1">
      <c r="A63" s="1"/>
    </row>
    <row r="64" ht="14.25" customHeight="1">
      <c r="A64" s="1"/>
    </row>
    <row r="65" ht="14.25" customHeight="1">
      <c r="A65" s="1"/>
    </row>
    <row r="66" ht="14.25" customHeight="1">
      <c r="A66" s="1"/>
    </row>
    <row r="67" ht="14.25" customHeight="1">
      <c r="A67" s="1"/>
    </row>
    <row r="68" ht="14.25" customHeight="1">
      <c r="A68" s="1"/>
    </row>
    <row r="69" ht="14.25" customHeight="1">
      <c r="A69" s="1"/>
    </row>
    <row r="70" ht="14.25" customHeight="1">
      <c r="A70" s="1"/>
    </row>
    <row r="71" ht="14.25" customHeight="1">
      <c r="A71" s="1"/>
    </row>
    <row r="72" ht="14.25" customHeight="1">
      <c r="A72" s="1"/>
    </row>
    <row r="73" ht="14.25" customHeight="1">
      <c r="A73" s="1"/>
    </row>
    <row r="74" ht="14.25" customHeight="1">
      <c r="A74" s="1"/>
    </row>
    <row r="75" ht="14.25" customHeight="1">
      <c r="A75" s="1"/>
    </row>
    <row r="76" ht="14.25" customHeight="1">
      <c r="A76" s="1"/>
    </row>
    <row r="77" ht="14.25" customHeight="1">
      <c r="A77" s="1"/>
    </row>
    <row r="78" ht="14.25" customHeight="1">
      <c r="A78" s="1"/>
    </row>
    <row r="79" ht="14.25" customHeight="1">
      <c r="A79" s="1"/>
    </row>
    <row r="80" ht="14.25" customHeight="1">
      <c r="A80" s="1"/>
    </row>
    <row r="81" ht="14.25" customHeight="1">
      <c r="A81" s="1"/>
    </row>
    <row r="82" ht="14.25" customHeight="1">
      <c r="A82" s="1"/>
    </row>
    <row r="83" ht="14.25" customHeight="1">
      <c r="A83" s="1"/>
    </row>
    <row r="84" ht="14.25" customHeight="1">
      <c r="A84" s="1"/>
    </row>
    <row r="85" ht="14.25" customHeight="1">
      <c r="A85" s="1"/>
    </row>
    <row r="86" ht="14.25" customHeight="1">
      <c r="A86" s="1"/>
    </row>
    <row r="87" ht="14.25" customHeight="1">
      <c r="A87" s="1"/>
    </row>
    <row r="88" ht="14.25" customHeight="1">
      <c r="A88" s="1"/>
    </row>
    <row r="89" ht="14.25" customHeight="1">
      <c r="A89" s="1"/>
    </row>
    <row r="90" ht="14.25" customHeight="1">
      <c r="A90" s="1"/>
    </row>
    <row r="91" ht="14.25" customHeight="1">
      <c r="A91" s="1"/>
    </row>
    <row r="92" ht="14.25" customHeight="1">
      <c r="A92" s="1"/>
    </row>
    <row r="93" ht="14.25" customHeight="1">
      <c r="A93" s="1"/>
    </row>
    <row r="94" ht="14.25" customHeight="1">
      <c r="A94" s="1"/>
    </row>
    <row r="95" ht="14.25" customHeight="1">
      <c r="A95" s="1"/>
    </row>
    <row r="96" ht="14.25" customHeight="1">
      <c r="A96" s="1"/>
    </row>
    <row r="97" ht="14.25" customHeight="1">
      <c r="A97" s="1"/>
    </row>
    <row r="98" ht="14.25" customHeight="1">
      <c r="A98" s="1"/>
    </row>
    <row r="99" ht="14.25" customHeight="1">
      <c r="A99" s="1"/>
    </row>
    <row r="100" ht="14.25" customHeight="1">
      <c r="A100" s="1"/>
    </row>
    <row r="101" ht="14.25" customHeight="1">
      <c r="A101" s="1"/>
    </row>
    <row r="102" ht="14.25" customHeight="1">
      <c r="A102" s="1"/>
    </row>
    <row r="103" ht="14.25" customHeight="1">
      <c r="A103" s="1"/>
    </row>
    <row r="104" ht="14.25" customHeight="1">
      <c r="A104" s="1"/>
    </row>
    <row r="105" ht="14.25" customHeight="1">
      <c r="A105" s="1"/>
    </row>
    <row r="106" ht="14.25" customHeight="1">
      <c r="A106" s="1"/>
    </row>
    <row r="107" ht="14.25" customHeight="1">
      <c r="A107" s="1"/>
    </row>
    <row r="108" ht="14.25" customHeight="1">
      <c r="A108" s="1"/>
    </row>
    <row r="109" ht="14.25" customHeight="1">
      <c r="A109" s="1"/>
    </row>
    <row r="110" ht="14.25" customHeight="1">
      <c r="A110" s="1"/>
    </row>
    <row r="111" ht="14.25" customHeight="1">
      <c r="A111" s="1"/>
    </row>
    <row r="112" ht="14.25" customHeight="1">
      <c r="A112" s="1"/>
    </row>
    <row r="113" ht="14.25" customHeight="1">
      <c r="A113" s="1"/>
    </row>
    <row r="114" ht="14.25" customHeight="1">
      <c r="A114" s="1"/>
    </row>
    <row r="115" ht="14.25" customHeight="1">
      <c r="A115" s="1"/>
    </row>
    <row r="116" ht="14.25" customHeight="1">
      <c r="A116" s="1"/>
    </row>
    <row r="117" ht="14.25" customHeight="1">
      <c r="A117" s="1"/>
    </row>
    <row r="118" ht="14.25" customHeight="1">
      <c r="A118" s="1"/>
    </row>
    <row r="119" ht="14.25" customHeight="1">
      <c r="A119" s="1"/>
    </row>
    <row r="120" ht="14.25" customHeight="1">
      <c r="A120" s="1"/>
    </row>
    <row r="121" ht="14.25" customHeight="1">
      <c r="A121" s="1"/>
    </row>
    <row r="122" ht="14.25" customHeight="1">
      <c r="A122" s="1"/>
    </row>
    <row r="123" ht="14.25" customHeight="1">
      <c r="A123" s="1"/>
    </row>
    <row r="124" ht="14.25" customHeight="1">
      <c r="A124" s="1"/>
    </row>
    <row r="125" ht="14.25" customHeight="1">
      <c r="A125" s="1"/>
    </row>
    <row r="126" ht="14.25" customHeight="1">
      <c r="A126" s="1"/>
    </row>
    <row r="127" ht="14.25" customHeight="1">
      <c r="A127" s="1"/>
    </row>
    <row r="128" ht="14.25" customHeight="1">
      <c r="A128" s="1"/>
    </row>
    <row r="129" ht="14.25" customHeight="1">
      <c r="A129" s="1"/>
    </row>
    <row r="130" ht="14.25" customHeight="1">
      <c r="A130" s="1"/>
    </row>
    <row r="131" ht="14.25" customHeight="1">
      <c r="A131" s="1"/>
    </row>
    <row r="132" ht="14.25" customHeight="1">
      <c r="A132" s="1"/>
    </row>
    <row r="133" ht="14.25" customHeight="1">
      <c r="A133" s="1"/>
    </row>
    <row r="134" ht="14.25" customHeight="1">
      <c r="A134" s="1"/>
    </row>
    <row r="135" ht="14.25" customHeight="1">
      <c r="A135" s="1"/>
    </row>
    <row r="136" ht="14.25" customHeight="1">
      <c r="A136" s="1"/>
    </row>
    <row r="137" ht="14.25" customHeight="1">
      <c r="A137" s="1"/>
    </row>
    <row r="138" ht="14.25" customHeight="1">
      <c r="A138" s="1"/>
    </row>
    <row r="139" ht="14.25" customHeight="1">
      <c r="A139" s="1"/>
    </row>
    <row r="140" ht="14.25" customHeight="1">
      <c r="A140" s="1"/>
    </row>
    <row r="141" ht="14.25" customHeight="1">
      <c r="A141" s="1"/>
    </row>
    <row r="142" ht="14.25" customHeight="1">
      <c r="A142" s="1"/>
    </row>
    <row r="143" ht="14.25" customHeight="1">
      <c r="A143" s="1"/>
    </row>
    <row r="144" ht="14.25" customHeight="1">
      <c r="A144" s="1"/>
    </row>
    <row r="145" ht="14.25" customHeight="1">
      <c r="A145" s="1"/>
    </row>
    <row r="146" ht="14.25" customHeight="1">
      <c r="A146" s="1"/>
    </row>
    <row r="147" ht="14.25" customHeight="1">
      <c r="A147" s="1"/>
    </row>
    <row r="148" ht="14.25" customHeight="1">
      <c r="A148" s="1"/>
    </row>
    <row r="149" ht="14.25" customHeight="1">
      <c r="A149" s="1"/>
    </row>
    <row r="150" ht="14.25" customHeight="1">
      <c r="A150" s="1"/>
    </row>
    <row r="151" ht="14.25" customHeight="1">
      <c r="A151" s="1"/>
    </row>
    <row r="152" ht="14.25" customHeight="1">
      <c r="A152" s="1"/>
    </row>
    <row r="153" ht="14.25" customHeight="1">
      <c r="A153" s="1"/>
    </row>
    <row r="154" ht="14.25" customHeight="1">
      <c r="A154" s="1"/>
    </row>
    <row r="155" ht="14.25" customHeight="1">
      <c r="A155" s="1"/>
    </row>
    <row r="156" ht="14.25" customHeight="1">
      <c r="A156" s="1"/>
    </row>
    <row r="157" ht="14.25" customHeight="1">
      <c r="A157" s="1"/>
    </row>
    <row r="158" ht="14.25" customHeight="1">
      <c r="A158" s="1"/>
    </row>
    <row r="159" ht="14.25" customHeight="1">
      <c r="A159" s="1"/>
    </row>
    <row r="160" ht="14.25" customHeight="1">
      <c r="A160" s="1"/>
    </row>
    <row r="161" ht="14.25" customHeight="1">
      <c r="A161" s="1"/>
    </row>
    <row r="162" ht="14.25" customHeight="1">
      <c r="A162" s="1"/>
    </row>
    <row r="163" ht="14.25" customHeight="1">
      <c r="A163" s="1"/>
    </row>
    <row r="164" ht="14.25" customHeight="1">
      <c r="A164" s="1"/>
    </row>
    <row r="165" ht="14.25" customHeight="1">
      <c r="A165" s="1"/>
    </row>
    <row r="166" ht="14.25" customHeight="1">
      <c r="A166" s="1"/>
    </row>
    <row r="167" ht="14.25" customHeight="1">
      <c r="A167" s="1"/>
    </row>
    <row r="168" ht="14.25" customHeight="1">
      <c r="A168" s="1"/>
    </row>
    <row r="169" ht="14.25" customHeight="1">
      <c r="A169" s="1"/>
    </row>
    <row r="170" ht="14.25" customHeight="1">
      <c r="A170" s="1"/>
    </row>
    <row r="171" ht="14.25" customHeight="1">
      <c r="A171" s="1"/>
    </row>
    <row r="172" ht="14.25" customHeight="1">
      <c r="A172" s="1"/>
    </row>
    <row r="173" ht="14.25" customHeight="1">
      <c r="A173" s="1"/>
    </row>
    <row r="174" ht="14.25" customHeight="1">
      <c r="A174" s="1"/>
    </row>
    <row r="175" ht="14.25" customHeight="1">
      <c r="A175" s="1"/>
    </row>
    <row r="176" ht="14.25" customHeight="1">
      <c r="A176" s="1"/>
    </row>
    <row r="177" ht="14.25" customHeight="1">
      <c r="A177" s="1"/>
    </row>
    <row r="178" ht="14.25" customHeight="1">
      <c r="A178" s="1"/>
    </row>
    <row r="179" ht="14.25" customHeight="1">
      <c r="A179" s="1"/>
    </row>
    <row r="180" ht="14.25" customHeight="1">
      <c r="A180" s="1"/>
    </row>
    <row r="181" ht="14.25" customHeight="1">
      <c r="A181" s="1"/>
    </row>
    <row r="182" ht="14.25" customHeight="1">
      <c r="A182" s="1"/>
    </row>
    <row r="183" ht="14.25" customHeight="1">
      <c r="A183" s="1"/>
    </row>
    <row r="184" ht="14.25" customHeight="1">
      <c r="A184" s="1"/>
    </row>
    <row r="185" ht="14.25" customHeight="1">
      <c r="A185" s="1"/>
    </row>
    <row r="186" ht="14.25" customHeight="1">
      <c r="A186" s="1"/>
    </row>
    <row r="187" ht="14.25" customHeight="1">
      <c r="A187" s="1"/>
    </row>
    <row r="188" ht="14.25" customHeight="1">
      <c r="A188" s="1"/>
    </row>
    <row r="189" ht="14.25" customHeight="1">
      <c r="A189" s="1"/>
    </row>
    <row r="190" ht="14.25" customHeight="1">
      <c r="A190" s="1"/>
    </row>
    <row r="191" ht="14.25" customHeight="1">
      <c r="A191" s="1"/>
    </row>
    <row r="192" ht="14.25" customHeight="1">
      <c r="A192" s="1"/>
    </row>
    <row r="193" ht="14.25" customHeight="1">
      <c r="A193" s="1"/>
    </row>
    <row r="194" ht="14.25" customHeight="1">
      <c r="A194" s="1"/>
    </row>
    <row r="195" ht="14.25" customHeight="1">
      <c r="A195" s="1"/>
    </row>
    <row r="196" ht="14.25" customHeight="1">
      <c r="A196" s="1"/>
    </row>
    <row r="197" ht="14.25" customHeight="1">
      <c r="A197" s="1"/>
    </row>
    <row r="198" ht="14.25" customHeight="1">
      <c r="A198" s="1"/>
    </row>
    <row r="199" ht="14.25" customHeight="1">
      <c r="A199" s="1"/>
    </row>
    <row r="200" ht="14.25" customHeight="1">
      <c r="A200" s="1"/>
    </row>
    <row r="201" ht="14.25" customHeight="1">
      <c r="A201" s="1"/>
    </row>
    <row r="202" ht="14.25" customHeight="1">
      <c r="A202" s="1"/>
    </row>
    <row r="203" ht="14.25" customHeight="1">
      <c r="A203" s="1"/>
    </row>
    <row r="204" ht="14.25" customHeight="1">
      <c r="A204" s="1"/>
    </row>
    <row r="205" ht="14.25" customHeight="1">
      <c r="A205" s="1"/>
    </row>
    <row r="206" ht="14.25" customHeight="1">
      <c r="A206" s="1"/>
    </row>
    <row r="207" ht="14.25" customHeight="1">
      <c r="A207" s="1"/>
    </row>
    <row r="208" ht="14.25" customHeight="1">
      <c r="A208" s="1"/>
    </row>
    <row r="209" ht="14.25" customHeight="1">
      <c r="A209" s="1"/>
    </row>
    <row r="210" ht="14.25" customHeight="1">
      <c r="A210" s="1"/>
    </row>
    <row r="211" ht="14.25" customHeight="1">
      <c r="A211" s="1"/>
    </row>
    <row r="212" ht="14.25" customHeight="1">
      <c r="A212" s="1"/>
    </row>
    <row r="213" ht="14.25" customHeight="1">
      <c r="A213" s="1"/>
    </row>
    <row r="214" ht="14.25" customHeight="1">
      <c r="A214" s="1"/>
    </row>
    <row r="215" ht="14.25" customHeight="1">
      <c r="A215" s="1"/>
    </row>
    <row r="216" ht="14.25" customHeight="1">
      <c r="A216" s="1"/>
    </row>
    <row r="217" ht="14.25" customHeight="1">
      <c r="A217" s="1"/>
    </row>
    <row r="218" ht="14.25" customHeight="1">
      <c r="A218" s="1"/>
    </row>
    <row r="219" ht="14.25" customHeight="1">
      <c r="A219" s="1"/>
    </row>
    <row r="220" ht="14.25" customHeight="1">
      <c r="A220" s="1"/>
    </row>
    <row r="221" ht="14.25" customHeight="1">
      <c r="A221" s="1"/>
    </row>
    <row r="222" ht="14.25" customHeight="1">
      <c r="A222" s="1"/>
    </row>
    <row r="223" ht="14.25" customHeight="1">
      <c r="A223" s="1"/>
    </row>
    <row r="224" ht="14.25" customHeight="1">
      <c r="A224" s="1"/>
    </row>
    <row r="225" ht="14.25" customHeight="1">
      <c r="A225" s="1"/>
    </row>
    <row r="226" ht="14.25" customHeight="1">
      <c r="A226" s="1"/>
    </row>
    <row r="227" ht="14.25" customHeight="1">
      <c r="A227" s="1"/>
    </row>
    <row r="228" ht="14.25" customHeight="1">
      <c r="A228" s="1"/>
    </row>
    <row r="229" ht="14.25" customHeight="1">
      <c r="A229" s="1"/>
    </row>
    <row r="230" ht="14.25" customHeight="1">
      <c r="A230" s="1"/>
    </row>
    <row r="231" ht="14.25" customHeight="1">
      <c r="A231" s="1"/>
    </row>
    <row r="232" ht="14.25" customHeight="1">
      <c r="A232" s="1"/>
    </row>
    <row r="233" ht="14.25" customHeight="1">
      <c r="A233" s="1"/>
    </row>
    <row r="234" ht="14.25" customHeight="1">
      <c r="A234" s="1"/>
    </row>
    <row r="235" ht="14.25" customHeight="1">
      <c r="A235" s="1"/>
    </row>
    <row r="236" ht="14.25" customHeight="1">
      <c r="A236" s="1"/>
    </row>
    <row r="237" ht="14.25" customHeight="1">
      <c r="A237" s="1"/>
    </row>
    <row r="238" ht="14.25" customHeight="1">
      <c r="A238" s="1"/>
    </row>
    <row r="239" ht="14.25" customHeight="1">
      <c r="A239" s="1"/>
    </row>
    <row r="240" ht="14.25" customHeight="1">
      <c r="A240" s="1"/>
    </row>
    <row r="241" ht="14.25" customHeight="1">
      <c r="A241" s="1"/>
    </row>
    <row r="242" ht="14.25" customHeight="1">
      <c r="A242" s="1"/>
    </row>
    <row r="243" ht="14.25" customHeight="1">
      <c r="A243" s="1"/>
    </row>
    <row r="244" ht="14.25" customHeight="1">
      <c r="A244" s="1"/>
    </row>
    <row r="245" ht="14.25" customHeight="1">
      <c r="A245" s="1"/>
    </row>
    <row r="246" ht="14.25" customHeight="1">
      <c r="A246" s="1"/>
    </row>
    <row r="247" ht="14.25" customHeight="1">
      <c r="A247" s="1"/>
    </row>
    <row r="248" ht="14.25" customHeight="1">
      <c r="A248" s="1"/>
    </row>
    <row r="249" ht="14.25" customHeight="1">
      <c r="A249" s="1"/>
    </row>
    <row r="250" ht="14.25" customHeight="1">
      <c r="A250" s="1"/>
    </row>
    <row r="251" ht="14.25" customHeight="1">
      <c r="A251" s="1"/>
    </row>
    <row r="252" ht="14.25" customHeight="1">
      <c r="A252" s="1"/>
    </row>
    <row r="253" ht="14.25" customHeight="1">
      <c r="A253" s="1"/>
    </row>
    <row r="254" ht="14.25" customHeight="1">
      <c r="A254" s="1"/>
    </row>
    <row r="255" ht="14.25" customHeight="1">
      <c r="A255" s="1"/>
    </row>
    <row r="256" ht="14.25" customHeight="1">
      <c r="A256" s="1"/>
    </row>
    <row r="257" ht="14.25" customHeight="1">
      <c r="A257" s="1"/>
    </row>
    <row r="258" ht="14.25" customHeight="1">
      <c r="A258" s="1"/>
    </row>
    <row r="259" ht="14.25" customHeight="1">
      <c r="A259" s="1"/>
    </row>
    <row r="260" ht="14.25" customHeight="1">
      <c r="A260" s="1"/>
    </row>
    <row r="261" ht="14.25" customHeight="1">
      <c r="A261" s="1"/>
    </row>
    <row r="262" ht="14.25" customHeight="1">
      <c r="A262" s="1"/>
    </row>
    <row r="263" ht="14.25" customHeight="1">
      <c r="A263" s="1"/>
    </row>
    <row r="264" ht="14.25" customHeight="1">
      <c r="A264" s="1"/>
    </row>
    <row r="265" ht="14.25" customHeight="1">
      <c r="A265" s="1"/>
    </row>
    <row r="266" ht="14.25" customHeight="1">
      <c r="A266" s="1"/>
    </row>
    <row r="267" ht="14.25" customHeight="1">
      <c r="A267" s="1"/>
    </row>
    <row r="268" ht="14.25" customHeight="1">
      <c r="A268" s="1"/>
    </row>
    <row r="269" ht="14.25" customHeight="1">
      <c r="A269" s="1"/>
    </row>
    <row r="270" ht="14.25" customHeight="1">
      <c r="A270" s="1"/>
    </row>
    <row r="271" ht="14.25" customHeight="1">
      <c r="A271" s="1"/>
    </row>
    <row r="272" ht="14.25" customHeight="1">
      <c r="A272" s="1"/>
    </row>
    <row r="273" ht="14.25" customHeight="1">
      <c r="A273" s="1"/>
    </row>
    <row r="274" ht="14.25" customHeight="1">
      <c r="A274" s="1"/>
    </row>
    <row r="275" ht="14.25" customHeight="1">
      <c r="A275" s="1"/>
    </row>
    <row r="276" ht="14.25" customHeight="1">
      <c r="A276" s="1"/>
    </row>
    <row r="277" ht="14.25" customHeight="1">
      <c r="A277" s="1"/>
    </row>
    <row r="278" ht="14.25" customHeight="1">
      <c r="A278" s="1"/>
    </row>
    <row r="279" ht="14.25" customHeight="1">
      <c r="A279" s="1"/>
    </row>
    <row r="280" ht="14.25" customHeight="1">
      <c r="A280" s="1"/>
    </row>
    <row r="281" ht="14.25" customHeight="1">
      <c r="A281" s="1"/>
    </row>
    <row r="282" ht="14.25" customHeight="1">
      <c r="A282" s="1"/>
    </row>
    <row r="283" ht="14.25" customHeight="1">
      <c r="A283" s="1"/>
    </row>
    <row r="284" ht="14.25" customHeight="1">
      <c r="A284" s="1"/>
    </row>
    <row r="285" ht="14.25" customHeight="1">
      <c r="A285" s="1"/>
    </row>
    <row r="286" ht="14.25" customHeight="1">
      <c r="A286" s="1"/>
    </row>
    <row r="287" ht="14.25" customHeight="1">
      <c r="A287" s="1"/>
    </row>
    <row r="288" ht="14.25" customHeight="1">
      <c r="A288" s="1"/>
    </row>
    <row r="289" ht="14.25" customHeight="1">
      <c r="A289" s="1"/>
    </row>
    <row r="290" ht="14.25" customHeight="1">
      <c r="A290" s="1"/>
    </row>
    <row r="291" ht="14.25" customHeight="1">
      <c r="A291" s="1"/>
    </row>
    <row r="292" ht="14.25" customHeight="1">
      <c r="A292" s="1"/>
    </row>
    <row r="293" ht="14.25" customHeight="1">
      <c r="A293" s="1"/>
    </row>
    <row r="294" ht="14.25" customHeight="1">
      <c r="A294" s="1"/>
    </row>
    <row r="295" ht="14.25" customHeight="1">
      <c r="A295" s="1"/>
    </row>
    <row r="296" ht="14.25" customHeight="1">
      <c r="A296" s="1"/>
    </row>
    <row r="297" ht="14.25" customHeight="1">
      <c r="A297" s="1"/>
    </row>
    <row r="298" ht="14.25" customHeight="1">
      <c r="A298" s="1"/>
    </row>
    <row r="299" ht="14.25" customHeight="1">
      <c r="A299" s="1"/>
    </row>
    <row r="300" ht="14.25" customHeight="1">
      <c r="A300" s="1"/>
    </row>
    <row r="301" ht="14.25" customHeight="1">
      <c r="A301" s="1"/>
    </row>
    <row r="302" ht="14.25" customHeight="1">
      <c r="A302" s="1"/>
    </row>
    <row r="303" ht="14.25" customHeight="1">
      <c r="A303" s="1"/>
    </row>
    <row r="304" ht="14.25" customHeight="1">
      <c r="A304" s="1"/>
    </row>
    <row r="305" ht="14.25" customHeight="1">
      <c r="A305" s="1"/>
    </row>
    <row r="306" ht="14.25" customHeight="1">
      <c r="A306" s="1"/>
    </row>
    <row r="307" ht="14.25" customHeight="1">
      <c r="A307" s="1"/>
    </row>
    <row r="308" ht="14.25" customHeight="1">
      <c r="A308" s="1"/>
    </row>
    <row r="309" ht="14.25" customHeight="1">
      <c r="A309" s="1"/>
    </row>
    <row r="310" ht="14.25" customHeight="1">
      <c r="A310" s="1"/>
    </row>
    <row r="311" ht="14.25" customHeight="1">
      <c r="A311" s="1"/>
    </row>
    <row r="312" ht="14.25" customHeight="1">
      <c r="A312" s="1"/>
    </row>
    <row r="313" ht="14.25" customHeight="1">
      <c r="A313" s="1"/>
    </row>
    <row r="314" ht="14.25" customHeight="1">
      <c r="A314" s="1"/>
    </row>
    <row r="315" ht="14.25" customHeight="1">
      <c r="A315" s="1"/>
    </row>
    <row r="316" ht="14.25" customHeight="1">
      <c r="A316" s="1"/>
    </row>
    <row r="317" ht="14.25" customHeight="1">
      <c r="A317" s="1"/>
    </row>
    <row r="318" ht="14.25" customHeight="1">
      <c r="A318" s="1"/>
    </row>
    <row r="319" ht="14.25" customHeight="1">
      <c r="A319" s="1"/>
    </row>
    <row r="320" ht="14.25" customHeight="1">
      <c r="A320" s="1"/>
    </row>
    <row r="321" ht="14.25" customHeight="1">
      <c r="A321" s="1"/>
    </row>
    <row r="322" ht="14.25" customHeight="1">
      <c r="A322" s="1"/>
    </row>
    <row r="323" ht="14.25" customHeight="1">
      <c r="A323" s="1"/>
    </row>
    <row r="324" ht="14.25" customHeight="1">
      <c r="A324" s="1"/>
    </row>
    <row r="325" ht="14.25" customHeight="1">
      <c r="A325" s="1"/>
    </row>
    <row r="326" ht="14.25" customHeight="1">
      <c r="A326" s="1"/>
    </row>
    <row r="327" ht="14.25" customHeight="1">
      <c r="A327" s="1"/>
    </row>
    <row r="328" ht="14.25" customHeight="1">
      <c r="A328" s="1"/>
    </row>
    <row r="329" ht="14.25" customHeight="1">
      <c r="A329" s="1"/>
    </row>
    <row r="330" ht="14.25" customHeight="1">
      <c r="A330" s="1"/>
    </row>
    <row r="331" ht="14.25" customHeight="1">
      <c r="A331" s="1"/>
    </row>
    <row r="332" ht="14.25" customHeight="1">
      <c r="A332" s="1"/>
    </row>
    <row r="333" ht="14.25" customHeight="1">
      <c r="A333" s="1"/>
    </row>
    <row r="334" ht="14.25" customHeight="1">
      <c r="A334" s="1"/>
    </row>
    <row r="335" ht="14.25" customHeight="1">
      <c r="A335" s="1"/>
    </row>
    <row r="336" ht="14.25" customHeight="1">
      <c r="A336" s="1"/>
    </row>
    <row r="337" ht="14.25" customHeight="1">
      <c r="A337" s="1"/>
    </row>
    <row r="338" ht="14.25" customHeight="1">
      <c r="A338" s="1"/>
    </row>
    <row r="339" ht="14.25" customHeight="1">
      <c r="A339" s="1"/>
    </row>
    <row r="340" ht="14.25" customHeight="1">
      <c r="A340" s="1"/>
    </row>
    <row r="341" ht="14.25" customHeight="1">
      <c r="A341" s="1"/>
    </row>
    <row r="342" ht="14.25" customHeight="1">
      <c r="A342" s="1"/>
    </row>
    <row r="343" ht="14.25" customHeight="1">
      <c r="A343" s="1"/>
    </row>
    <row r="344" ht="14.25" customHeight="1">
      <c r="A344" s="1"/>
    </row>
    <row r="345" ht="14.25" customHeight="1">
      <c r="A345" s="1"/>
    </row>
    <row r="346" ht="14.25" customHeight="1">
      <c r="A346" s="1"/>
    </row>
    <row r="347" ht="14.25" customHeight="1">
      <c r="A347" s="1"/>
    </row>
    <row r="348" ht="14.25" customHeight="1">
      <c r="A348" s="1"/>
    </row>
    <row r="349" ht="14.25" customHeight="1">
      <c r="A349" s="1"/>
    </row>
    <row r="350" ht="14.25" customHeight="1">
      <c r="A350" s="1"/>
    </row>
    <row r="351" ht="14.25" customHeight="1">
      <c r="A351" s="1"/>
    </row>
    <row r="352" ht="14.25" customHeight="1">
      <c r="A352" s="1"/>
    </row>
    <row r="353" ht="14.25" customHeight="1">
      <c r="A353" s="1"/>
    </row>
    <row r="354" ht="14.25" customHeight="1">
      <c r="A354" s="1"/>
    </row>
    <row r="355" ht="14.25" customHeight="1">
      <c r="A355" s="1"/>
    </row>
    <row r="356" ht="14.25" customHeight="1">
      <c r="A356" s="1"/>
    </row>
    <row r="357" ht="14.25" customHeight="1">
      <c r="A357" s="1"/>
    </row>
    <row r="358" ht="14.25" customHeight="1">
      <c r="A358" s="1"/>
    </row>
    <row r="359" ht="14.25" customHeight="1">
      <c r="A359" s="1"/>
    </row>
    <row r="360" ht="14.25" customHeight="1">
      <c r="A360" s="1"/>
    </row>
    <row r="361" ht="14.25" customHeight="1">
      <c r="A361" s="1"/>
    </row>
    <row r="362" ht="14.25" customHeight="1">
      <c r="A362" s="1"/>
    </row>
    <row r="363" ht="14.25" customHeight="1">
      <c r="A363" s="1"/>
    </row>
    <row r="364" ht="14.25" customHeight="1">
      <c r="A364" s="1"/>
    </row>
    <row r="365" ht="14.25" customHeight="1">
      <c r="A365" s="1"/>
    </row>
    <row r="366" ht="14.25" customHeight="1">
      <c r="A366" s="1"/>
    </row>
    <row r="367" ht="14.25" customHeight="1">
      <c r="A367" s="1"/>
    </row>
    <row r="368" ht="14.25" customHeight="1">
      <c r="A368" s="1"/>
    </row>
    <row r="369" ht="14.25" customHeight="1">
      <c r="A369" s="1"/>
    </row>
    <row r="370" ht="14.25" customHeight="1">
      <c r="A370" s="1"/>
    </row>
    <row r="371" ht="14.25" customHeight="1">
      <c r="A371" s="1"/>
    </row>
    <row r="372" ht="14.25" customHeight="1">
      <c r="A372" s="1"/>
    </row>
    <row r="373" ht="14.25" customHeight="1">
      <c r="A373" s="1"/>
    </row>
    <row r="374" ht="14.25" customHeight="1">
      <c r="A374" s="1"/>
    </row>
    <row r="375" ht="14.25" customHeight="1">
      <c r="A375" s="1"/>
    </row>
    <row r="376" ht="14.25" customHeight="1">
      <c r="A376" s="1"/>
    </row>
    <row r="377" ht="14.25" customHeight="1">
      <c r="A377" s="1"/>
    </row>
    <row r="378" ht="14.25" customHeight="1">
      <c r="A378" s="1"/>
    </row>
    <row r="379" ht="14.25" customHeight="1">
      <c r="A379" s="1"/>
    </row>
    <row r="380" ht="14.25" customHeight="1">
      <c r="A380" s="1"/>
    </row>
    <row r="381" ht="14.25" customHeight="1">
      <c r="A381" s="1"/>
    </row>
    <row r="382" ht="14.25" customHeight="1">
      <c r="A382" s="1"/>
    </row>
    <row r="383" ht="14.25" customHeight="1">
      <c r="A383" s="1"/>
    </row>
    <row r="384" ht="14.25" customHeight="1">
      <c r="A384" s="1"/>
    </row>
    <row r="385" ht="14.25" customHeight="1">
      <c r="A385" s="1"/>
    </row>
    <row r="386" ht="14.25" customHeight="1">
      <c r="A386" s="1"/>
    </row>
    <row r="387" ht="14.25" customHeight="1">
      <c r="A387" s="1"/>
    </row>
    <row r="388" ht="14.25" customHeight="1">
      <c r="A388" s="1"/>
    </row>
    <row r="389" ht="14.25" customHeight="1">
      <c r="A389" s="1"/>
    </row>
    <row r="390" ht="14.25" customHeight="1">
      <c r="A390" s="1"/>
    </row>
    <row r="391" ht="14.25" customHeight="1">
      <c r="A391" s="1"/>
    </row>
    <row r="392" ht="14.25" customHeight="1">
      <c r="A392" s="1"/>
    </row>
    <row r="393" ht="14.25" customHeight="1">
      <c r="A393" s="1"/>
    </row>
    <row r="394" ht="14.25" customHeight="1">
      <c r="A394" s="1"/>
    </row>
    <row r="395" ht="14.25" customHeight="1">
      <c r="A395" s="1"/>
    </row>
    <row r="396" ht="14.25" customHeight="1">
      <c r="A396" s="1"/>
    </row>
    <row r="397" ht="14.25" customHeight="1">
      <c r="A397" s="1"/>
    </row>
    <row r="398" ht="14.25" customHeight="1">
      <c r="A398" s="1"/>
    </row>
    <row r="399" ht="14.25" customHeight="1">
      <c r="A399" s="1"/>
    </row>
    <row r="400" ht="14.25" customHeight="1">
      <c r="A400" s="1"/>
    </row>
    <row r="401" ht="14.25" customHeight="1">
      <c r="A401" s="1"/>
    </row>
    <row r="402" ht="14.25" customHeight="1">
      <c r="A402" s="1"/>
    </row>
    <row r="403" ht="14.25" customHeight="1">
      <c r="A403" s="1"/>
    </row>
    <row r="404" ht="14.25" customHeight="1">
      <c r="A404" s="1"/>
    </row>
    <row r="405" ht="14.25" customHeight="1">
      <c r="A405" s="1"/>
    </row>
    <row r="406" ht="14.25" customHeight="1">
      <c r="A406" s="1"/>
    </row>
    <row r="407" ht="14.25" customHeight="1">
      <c r="A407" s="1"/>
    </row>
    <row r="408" ht="14.25" customHeight="1">
      <c r="A408" s="1"/>
    </row>
    <row r="409" ht="14.25" customHeight="1">
      <c r="A409" s="1"/>
    </row>
    <row r="410" ht="14.25" customHeight="1">
      <c r="A410" s="1"/>
    </row>
    <row r="411" ht="14.25" customHeight="1">
      <c r="A411" s="1"/>
    </row>
    <row r="412" ht="14.25" customHeight="1">
      <c r="A412" s="1"/>
    </row>
    <row r="413" ht="14.25" customHeight="1">
      <c r="A413" s="1"/>
    </row>
    <row r="414" ht="14.25" customHeight="1">
      <c r="A414" s="1"/>
    </row>
    <row r="415" ht="14.25" customHeight="1">
      <c r="A415" s="1"/>
    </row>
    <row r="416" ht="14.25" customHeight="1">
      <c r="A416" s="1"/>
    </row>
    <row r="417" ht="14.25" customHeight="1">
      <c r="A417" s="1"/>
    </row>
    <row r="418" ht="14.25" customHeight="1">
      <c r="A418" s="1"/>
    </row>
    <row r="419" ht="14.25" customHeight="1">
      <c r="A419" s="1"/>
    </row>
    <row r="420" ht="14.25" customHeight="1">
      <c r="A420" s="1"/>
    </row>
    <row r="421" ht="14.25" customHeight="1">
      <c r="A421" s="1"/>
    </row>
    <row r="422" ht="14.25" customHeight="1">
      <c r="A422" s="1"/>
    </row>
    <row r="423" ht="14.25" customHeight="1">
      <c r="A423" s="1"/>
    </row>
    <row r="424" ht="14.25" customHeight="1">
      <c r="A424" s="1"/>
    </row>
    <row r="425" ht="14.25" customHeight="1">
      <c r="A425" s="1"/>
    </row>
    <row r="426" ht="14.25" customHeight="1">
      <c r="A426" s="1"/>
    </row>
    <row r="427" ht="14.25" customHeight="1">
      <c r="A427" s="1"/>
    </row>
    <row r="428" ht="14.25" customHeight="1">
      <c r="A428" s="1"/>
    </row>
    <row r="429" ht="14.25" customHeight="1">
      <c r="A429" s="1"/>
    </row>
    <row r="430" ht="14.25" customHeight="1">
      <c r="A430" s="1"/>
    </row>
    <row r="431" ht="14.25" customHeight="1">
      <c r="A431" s="1"/>
    </row>
    <row r="432" ht="14.25" customHeight="1">
      <c r="A432" s="1"/>
    </row>
    <row r="433" ht="14.25" customHeight="1">
      <c r="A433" s="1"/>
    </row>
    <row r="434" ht="14.25" customHeight="1">
      <c r="A434" s="1"/>
    </row>
    <row r="435" ht="14.25" customHeight="1">
      <c r="A435" s="1"/>
    </row>
    <row r="436" ht="14.25" customHeight="1">
      <c r="A436" s="1"/>
    </row>
    <row r="437" ht="14.25" customHeight="1">
      <c r="A437" s="1"/>
    </row>
    <row r="438" ht="14.25" customHeight="1">
      <c r="A438" s="1"/>
    </row>
    <row r="439" ht="14.25" customHeight="1">
      <c r="A439" s="1"/>
    </row>
    <row r="440" ht="14.25" customHeight="1">
      <c r="A440" s="1"/>
    </row>
    <row r="441" ht="14.25" customHeight="1">
      <c r="A441" s="1"/>
    </row>
    <row r="442" ht="14.25" customHeight="1">
      <c r="A442" s="1"/>
    </row>
    <row r="443" ht="14.25" customHeight="1">
      <c r="A443" s="1"/>
    </row>
    <row r="444" ht="14.25" customHeight="1">
      <c r="A444" s="1"/>
    </row>
    <row r="445" ht="14.25" customHeight="1">
      <c r="A445" s="1"/>
    </row>
    <row r="446" ht="14.25" customHeight="1">
      <c r="A446" s="1"/>
    </row>
    <row r="447" ht="14.25" customHeight="1">
      <c r="A447" s="1"/>
    </row>
    <row r="448" ht="14.25" customHeight="1">
      <c r="A448" s="1"/>
    </row>
    <row r="449" ht="14.25" customHeight="1">
      <c r="A449" s="1"/>
    </row>
    <row r="450" ht="14.25" customHeight="1">
      <c r="A450" s="1"/>
    </row>
    <row r="451" ht="14.25" customHeight="1">
      <c r="A451" s="1"/>
    </row>
    <row r="452" ht="14.25" customHeight="1">
      <c r="A452" s="1"/>
    </row>
    <row r="453" ht="14.25" customHeight="1">
      <c r="A453" s="1"/>
    </row>
    <row r="454" ht="14.25" customHeight="1">
      <c r="A454" s="1"/>
    </row>
    <row r="455" ht="14.25" customHeight="1">
      <c r="A455" s="1"/>
    </row>
    <row r="456" ht="14.25" customHeight="1">
      <c r="A456" s="1"/>
    </row>
    <row r="457" ht="14.25" customHeight="1">
      <c r="A457" s="1"/>
    </row>
    <row r="458" ht="14.25" customHeight="1">
      <c r="A458" s="1"/>
    </row>
    <row r="459" ht="14.25" customHeight="1">
      <c r="A459" s="1"/>
    </row>
    <row r="460" ht="14.25" customHeight="1">
      <c r="A460" s="1"/>
    </row>
    <row r="461" ht="14.25" customHeight="1">
      <c r="A461" s="1"/>
    </row>
    <row r="462" ht="14.25" customHeight="1">
      <c r="A462" s="1"/>
    </row>
    <row r="463" ht="14.25" customHeight="1">
      <c r="A463" s="1"/>
    </row>
    <row r="464" ht="14.25" customHeight="1">
      <c r="A464" s="1"/>
    </row>
    <row r="465" ht="14.25" customHeight="1">
      <c r="A465" s="1"/>
    </row>
    <row r="466" ht="14.25" customHeight="1">
      <c r="A466" s="1"/>
    </row>
    <row r="467" ht="14.25" customHeight="1">
      <c r="A467" s="1"/>
    </row>
    <row r="468" ht="14.25" customHeight="1">
      <c r="A468" s="1"/>
    </row>
    <row r="469" ht="14.25" customHeight="1">
      <c r="A469" s="1"/>
    </row>
    <row r="470" ht="14.25" customHeight="1">
      <c r="A470" s="1"/>
    </row>
    <row r="471" ht="14.25" customHeight="1">
      <c r="A471" s="1"/>
    </row>
    <row r="472" ht="14.25" customHeight="1">
      <c r="A472" s="1"/>
    </row>
    <row r="473" ht="14.25" customHeight="1">
      <c r="A473" s="1"/>
    </row>
    <row r="474" ht="14.25" customHeight="1">
      <c r="A474" s="1"/>
    </row>
    <row r="475" ht="14.25" customHeight="1">
      <c r="A475" s="1"/>
    </row>
    <row r="476" ht="14.25" customHeight="1">
      <c r="A476" s="1"/>
    </row>
    <row r="477" ht="14.25" customHeight="1">
      <c r="A477" s="1"/>
    </row>
    <row r="478" ht="14.25" customHeight="1">
      <c r="A478" s="1"/>
    </row>
    <row r="479" ht="14.25" customHeight="1">
      <c r="A479" s="1"/>
    </row>
    <row r="480" ht="14.25" customHeight="1">
      <c r="A480" s="1"/>
    </row>
    <row r="481" ht="14.25" customHeight="1">
      <c r="A481" s="1"/>
    </row>
    <row r="482" ht="14.25" customHeight="1">
      <c r="A482" s="1"/>
    </row>
    <row r="483" ht="14.25" customHeight="1">
      <c r="A483" s="1"/>
    </row>
    <row r="484" ht="14.25" customHeight="1">
      <c r="A484" s="1"/>
    </row>
    <row r="485" ht="14.25" customHeight="1">
      <c r="A485" s="1"/>
    </row>
    <row r="486" ht="14.25" customHeight="1">
      <c r="A486" s="1"/>
    </row>
    <row r="487" ht="14.25" customHeight="1">
      <c r="A487" s="1"/>
    </row>
    <row r="488" ht="14.25" customHeight="1">
      <c r="A488" s="1"/>
    </row>
    <row r="489" ht="14.25" customHeight="1">
      <c r="A489" s="1"/>
    </row>
    <row r="490" ht="14.25" customHeight="1">
      <c r="A490" s="1"/>
    </row>
    <row r="491" ht="14.25" customHeight="1">
      <c r="A491" s="1"/>
    </row>
    <row r="492" ht="14.25" customHeight="1">
      <c r="A492" s="1"/>
    </row>
    <row r="493" ht="14.25" customHeight="1">
      <c r="A493" s="1"/>
    </row>
    <row r="494" ht="14.25" customHeight="1">
      <c r="A494" s="1"/>
    </row>
    <row r="495" ht="14.25" customHeight="1">
      <c r="A495" s="1"/>
    </row>
    <row r="496" ht="14.25" customHeight="1">
      <c r="A496" s="1"/>
    </row>
    <row r="497" ht="14.25" customHeight="1">
      <c r="A497" s="1"/>
    </row>
    <row r="498" ht="14.25" customHeight="1">
      <c r="A498" s="1"/>
    </row>
    <row r="499" ht="14.25" customHeight="1">
      <c r="A499" s="1"/>
    </row>
    <row r="500" ht="14.25" customHeight="1">
      <c r="A500" s="1"/>
    </row>
    <row r="501" ht="14.25" customHeight="1">
      <c r="A501" s="1"/>
    </row>
    <row r="502" ht="14.25" customHeight="1">
      <c r="A502" s="1"/>
    </row>
    <row r="503" ht="14.25" customHeight="1">
      <c r="A503" s="1"/>
    </row>
    <row r="504" ht="14.25" customHeight="1">
      <c r="A504" s="1"/>
    </row>
    <row r="505" ht="14.25" customHeight="1">
      <c r="A505" s="1"/>
    </row>
    <row r="506" ht="14.25" customHeight="1">
      <c r="A506" s="1"/>
    </row>
    <row r="507" ht="14.25" customHeight="1">
      <c r="A507" s="1"/>
    </row>
    <row r="508" ht="14.25" customHeight="1">
      <c r="A508" s="1"/>
    </row>
    <row r="509" ht="14.25" customHeight="1">
      <c r="A509" s="1"/>
    </row>
    <row r="510" ht="14.25" customHeight="1">
      <c r="A510" s="1"/>
    </row>
    <row r="511" ht="14.25" customHeight="1">
      <c r="A511" s="1"/>
    </row>
    <row r="512" ht="14.25" customHeight="1">
      <c r="A512" s="1"/>
    </row>
    <row r="513" ht="14.25" customHeight="1">
      <c r="A513" s="1"/>
    </row>
    <row r="514" ht="14.25" customHeight="1">
      <c r="A514" s="1"/>
    </row>
    <row r="515" ht="14.25" customHeight="1">
      <c r="A515" s="1"/>
    </row>
    <row r="516" ht="14.25" customHeight="1">
      <c r="A516" s="1"/>
    </row>
    <row r="517" ht="14.25" customHeight="1">
      <c r="A517" s="1"/>
    </row>
    <row r="518" ht="14.25" customHeight="1">
      <c r="A518" s="1"/>
    </row>
    <row r="519" ht="14.25" customHeight="1">
      <c r="A519" s="1"/>
    </row>
    <row r="520" ht="14.25" customHeight="1">
      <c r="A520" s="1"/>
    </row>
    <row r="521" ht="14.25" customHeight="1">
      <c r="A521" s="1"/>
    </row>
    <row r="522" ht="14.25" customHeight="1">
      <c r="A522" s="1"/>
    </row>
    <row r="523" ht="14.25" customHeight="1">
      <c r="A523" s="1"/>
    </row>
    <row r="524" ht="14.25" customHeight="1">
      <c r="A524" s="1"/>
    </row>
    <row r="525" ht="14.25" customHeight="1">
      <c r="A525" s="1"/>
    </row>
    <row r="526" ht="14.25" customHeight="1">
      <c r="A526" s="1"/>
    </row>
    <row r="527" ht="14.25" customHeight="1">
      <c r="A527" s="1"/>
    </row>
    <row r="528" ht="14.25" customHeight="1">
      <c r="A528" s="1"/>
    </row>
    <row r="529" ht="14.25" customHeight="1">
      <c r="A529" s="1"/>
    </row>
    <row r="530" ht="14.25" customHeight="1">
      <c r="A530" s="1"/>
    </row>
    <row r="531" ht="14.25" customHeight="1">
      <c r="A531" s="1"/>
    </row>
    <row r="532" ht="14.25" customHeight="1">
      <c r="A532" s="1"/>
    </row>
    <row r="533" ht="14.25" customHeight="1">
      <c r="A533" s="1"/>
    </row>
    <row r="534" ht="14.25" customHeight="1">
      <c r="A534" s="1"/>
    </row>
    <row r="535" ht="14.25" customHeight="1">
      <c r="A535" s="1"/>
    </row>
    <row r="536" ht="14.25" customHeight="1">
      <c r="A536" s="1"/>
    </row>
    <row r="537" ht="14.25" customHeight="1">
      <c r="A537" s="1"/>
    </row>
    <row r="538" ht="14.25" customHeight="1">
      <c r="A538" s="1"/>
    </row>
    <row r="539" ht="14.25" customHeight="1">
      <c r="A539" s="1"/>
    </row>
    <row r="540" ht="14.25" customHeight="1">
      <c r="A540" s="1"/>
    </row>
    <row r="541" ht="14.25" customHeight="1">
      <c r="A541" s="1"/>
    </row>
    <row r="542" ht="14.25" customHeight="1">
      <c r="A542" s="1"/>
    </row>
    <row r="543" ht="14.25" customHeight="1">
      <c r="A543" s="1"/>
    </row>
    <row r="544" ht="14.25" customHeight="1">
      <c r="A544" s="1"/>
    </row>
    <row r="545" ht="14.25" customHeight="1">
      <c r="A545" s="1"/>
    </row>
    <row r="546" ht="14.25" customHeight="1">
      <c r="A546" s="1"/>
    </row>
    <row r="547" ht="14.25" customHeight="1">
      <c r="A547" s="1"/>
    </row>
    <row r="548" ht="14.25" customHeight="1">
      <c r="A548" s="1"/>
    </row>
    <row r="549" ht="14.25" customHeight="1">
      <c r="A549" s="1"/>
    </row>
    <row r="550" ht="14.25" customHeight="1">
      <c r="A550" s="1"/>
    </row>
    <row r="551" ht="14.25" customHeight="1">
      <c r="A551" s="1"/>
    </row>
    <row r="552" ht="14.25" customHeight="1">
      <c r="A552" s="1"/>
    </row>
    <row r="553" ht="14.25" customHeight="1">
      <c r="A553" s="1"/>
    </row>
    <row r="554" ht="14.25" customHeight="1">
      <c r="A554" s="1"/>
    </row>
    <row r="555" ht="14.25" customHeight="1">
      <c r="A555" s="1"/>
    </row>
    <row r="556" ht="14.25" customHeight="1">
      <c r="A556" s="1"/>
    </row>
    <row r="557" ht="14.25" customHeight="1">
      <c r="A557" s="1"/>
    </row>
    <row r="558" ht="14.25" customHeight="1">
      <c r="A558" s="1"/>
    </row>
    <row r="559" ht="14.25" customHeight="1">
      <c r="A559" s="1"/>
    </row>
    <row r="560" ht="14.25" customHeight="1">
      <c r="A560" s="1"/>
    </row>
    <row r="561" ht="14.25" customHeight="1">
      <c r="A561" s="1"/>
    </row>
    <row r="562" ht="14.25" customHeight="1">
      <c r="A562" s="1"/>
    </row>
    <row r="563" ht="14.25" customHeight="1">
      <c r="A563" s="1"/>
    </row>
    <row r="564" ht="14.25" customHeight="1">
      <c r="A564" s="1"/>
    </row>
    <row r="565" ht="14.25" customHeight="1">
      <c r="A565" s="1"/>
    </row>
    <row r="566" ht="14.25" customHeight="1">
      <c r="A566" s="1"/>
    </row>
    <row r="567" ht="14.25" customHeight="1">
      <c r="A567" s="1"/>
    </row>
    <row r="568" ht="14.25" customHeight="1">
      <c r="A568" s="1"/>
    </row>
    <row r="569" ht="14.25" customHeight="1">
      <c r="A569" s="1"/>
    </row>
    <row r="570" ht="14.25" customHeight="1">
      <c r="A570" s="1"/>
    </row>
    <row r="571" ht="14.25" customHeight="1">
      <c r="A571" s="1"/>
    </row>
    <row r="572" ht="14.25" customHeight="1">
      <c r="A572" s="1"/>
    </row>
    <row r="573" ht="14.25" customHeight="1">
      <c r="A573" s="1"/>
    </row>
    <row r="574" ht="14.25" customHeight="1">
      <c r="A574" s="1"/>
    </row>
    <row r="575" ht="14.25" customHeight="1">
      <c r="A575" s="1"/>
    </row>
    <row r="576" ht="14.25" customHeight="1">
      <c r="A576" s="1"/>
    </row>
    <row r="577" ht="14.25" customHeight="1">
      <c r="A577" s="1"/>
    </row>
    <row r="578" ht="14.25" customHeight="1">
      <c r="A578" s="1"/>
    </row>
    <row r="579" ht="14.25" customHeight="1">
      <c r="A579" s="1"/>
    </row>
    <row r="580" ht="14.25" customHeight="1">
      <c r="A580" s="1"/>
    </row>
    <row r="581" ht="14.25" customHeight="1">
      <c r="A581" s="1"/>
    </row>
    <row r="582" ht="14.25" customHeight="1">
      <c r="A582" s="1"/>
    </row>
    <row r="583" ht="14.25" customHeight="1">
      <c r="A583" s="1"/>
    </row>
    <row r="584" ht="14.25" customHeight="1">
      <c r="A584" s="1"/>
    </row>
    <row r="585" ht="14.25" customHeight="1">
      <c r="A585" s="1"/>
    </row>
    <row r="586" ht="14.25" customHeight="1">
      <c r="A586" s="1"/>
    </row>
    <row r="587" ht="14.25" customHeight="1">
      <c r="A587" s="1"/>
    </row>
    <row r="588" ht="14.25" customHeight="1">
      <c r="A588" s="1"/>
    </row>
    <row r="589" ht="14.25" customHeight="1">
      <c r="A589" s="1"/>
    </row>
    <row r="590" ht="14.25" customHeight="1">
      <c r="A590" s="1"/>
    </row>
    <row r="591" ht="14.25" customHeight="1">
      <c r="A591" s="1"/>
    </row>
    <row r="592" ht="14.25" customHeight="1">
      <c r="A592" s="1"/>
    </row>
    <row r="593" ht="14.25" customHeight="1">
      <c r="A593" s="1"/>
    </row>
    <row r="594" ht="14.25" customHeight="1">
      <c r="A594" s="1"/>
    </row>
    <row r="595" ht="14.25" customHeight="1">
      <c r="A595" s="1"/>
    </row>
    <row r="596" ht="14.25" customHeight="1">
      <c r="A596" s="1"/>
    </row>
    <row r="597" ht="14.25" customHeight="1">
      <c r="A597" s="1"/>
    </row>
    <row r="598" ht="14.25" customHeight="1">
      <c r="A598" s="1"/>
    </row>
    <row r="599" ht="14.25" customHeight="1">
      <c r="A599" s="1"/>
    </row>
    <row r="600" ht="14.25" customHeight="1">
      <c r="A600" s="1"/>
    </row>
    <row r="601" ht="14.25" customHeight="1">
      <c r="A601" s="1"/>
    </row>
    <row r="602" ht="14.25" customHeight="1">
      <c r="A602" s="1"/>
    </row>
    <row r="603" ht="14.25" customHeight="1">
      <c r="A603" s="1"/>
    </row>
    <row r="604" ht="14.25" customHeight="1">
      <c r="A604" s="1"/>
    </row>
    <row r="605" ht="14.25" customHeight="1">
      <c r="A605" s="1"/>
    </row>
    <row r="606" ht="14.25" customHeight="1">
      <c r="A606" s="1"/>
    </row>
    <row r="607" ht="14.25" customHeight="1">
      <c r="A607" s="1"/>
    </row>
    <row r="608" ht="14.25" customHeight="1">
      <c r="A608" s="1"/>
    </row>
    <row r="609" ht="14.25" customHeight="1">
      <c r="A609" s="1"/>
    </row>
    <row r="610" ht="14.25" customHeight="1">
      <c r="A610" s="1"/>
    </row>
    <row r="611" ht="14.25" customHeight="1">
      <c r="A611" s="1"/>
    </row>
    <row r="612" ht="14.25" customHeight="1">
      <c r="A612" s="1"/>
    </row>
    <row r="613" ht="14.25" customHeight="1">
      <c r="A613" s="1"/>
    </row>
    <row r="614" ht="14.25" customHeight="1">
      <c r="A614" s="1"/>
    </row>
    <row r="615" ht="14.25" customHeight="1">
      <c r="A615" s="1"/>
    </row>
    <row r="616" ht="14.25" customHeight="1">
      <c r="A616" s="1"/>
    </row>
    <row r="617" ht="14.25" customHeight="1">
      <c r="A617" s="1"/>
    </row>
    <row r="618" ht="14.25" customHeight="1">
      <c r="A618" s="1"/>
    </row>
    <row r="619" ht="14.25" customHeight="1">
      <c r="A619" s="1"/>
    </row>
    <row r="620" ht="14.25" customHeight="1">
      <c r="A620" s="1"/>
    </row>
    <row r="621" ht="14.25" customHeight="1">
      <c r="A621" s="1"/>
    </row>
    <row r="622" ht="14.25" customHeight="1">
      <c r="A622" s="1"/>
    </row>
    <row r="623" ht="14.25" customHeight="1">
      <c r="A623" s="1"/>
    </row>
    <row r="624" ht="14.25" customHeight="1">
      <c r="A624" s="1"/>
    </row>
    <row r="625" ht="14.25" customHeight="1">
      <c r="A625" s="1"/>
    </row>
    <row r="626" ht="14.25" customHeight="1">
      <c r="A626" s="1"/>
    </row>
    <row r="627" ht="14.25" customHeight="1">
      <c r="A627" s="1"/>
    </row>
    <row r="628" ht="14.25" customHeight="1">
      <c r="A628" s="1"/>
    </row>
    <row r="629" ht="14.25" customHeight="1">
      <c r="A629" s="1"/>
    </row>
    <row r="630" ht="14.25" customHeight="1">
      <c r="A630" s="1"/>
    </row>
    <row r="631" ht="14.25" customHeight="1">
      <c r="A631" s="1"/>
    </row>
    <row r="632" ht="14.25" customHeight="1">
      <c r="A632" s="1"/>
    </row>
    <row r="633" ht="14.25" customHeight="1">
      <c r="A633" s="1"/>
    </row>
    <row r="634" ht="14.25" customHeight="1">
      <c r="A634" s="1"/>
    </row>
    <row r="635" ht="14.25" customHeight="1">
      <c r="A635" s="1"/>
    </row>
    <row r="636" ht="14.25" customHeight="1">
      <c r="A636" s="1"/>
    </row>
    <row r="637" ht="14.25" customHeight="1">
      <c r="A637" s="1"/>
    </row>
    <row r="638" ht="14.25" customHeight="1">
      <c r="A638" s="1"/>
    </row>
    <row r="639" ht="14.25" customHeight="1">
      <c r="A639" s="1"/>
    </row>
    <row r="640" ht="14.25" customHeight="1">
      <c r="A640" s="1"/>
    </row>
    <row r="641" ht="14.25" customHeight="1">
      <c r="A641" s="1"/>
    </row>
    <row r="642" ht="14.25" customHeight="1">
      <c r="A642" s="1"/>
    </row>
    <row r="643" ht="14.25" customHeight="1">
      <c r="A643" s="1"/>
    </row>
    <row r="644" ht="14.25" customHeight="1">
      <c r="A644" s="1"/>
    </row>
    <row r="645" ht="14.25" customHeight="1">
      <c r="A645" s="1"/>
    </row>
    <row r="646" ht="14.25" customHeight="1">
      <c r="A646" s="1"/>
    </row>
    <row r="647" ht="14.25" customHeight="1">
      <c r="A647" s="1"/>
    </row>
    <row r="648" ht="14.25" customHeight="1">
      <c r="A648" s="1"/>
    </row>
    <row r="649" ht="14.25" customHeight="1">
      <c r="A649" s="1"/>
    </row>
    <row r="650" ht="14.25" customHeight="1">
      <c r="A650" s="1"/>
    </row>
    <row r="651" ht="14.25" customHeight="1">
      <c r="A651" s="1"/>
    </row>
    <row r="652" ht="14.25" customHeight="1">
      <c r="A652" s="1"/>
    </row>
    <row r="653" ht="14.25" customHeight="1">
      <c r="A653" s="1"/>
    </row>
    <row r="654" ht="14.25" customHeight="1">
      <c r="A654" s="1"/>
    </row>
    <row r="655" ht="14.25" customHeight="1">
      <c r="A655" s="1"/>
    </row>
    <row r="656" ht="14.25" customHeight="1">
      <c r="A656" s="1"/>
    </row>
    <row r="657" ht="14.25" customHeight="1">
      <c r="A657" s="1"/>
    </row>
    <row r="658" ht="14.25" customHeight="1">
      <c r="A658" s="1"/>
    </row>
    <row r="659" ht="14.25" customHeight="1">
      <c r="A659" s="1"/>
    </row>
    <row r="660" ht="14.25" customHeight="1">
      <c r="A660" s="1"/>
    </row>
    <row r="661" ht="14.25" customHeight="1">
      <c r="A661" s="1"/>
    </row>
    <row r="662" ht="14.25" customHeight="1">
      <c r="A662" s="1"/>
    </row>
    <row r="663" ht="14.25" customHeight="1">
      <c r="A663" s="1"/>
    </row>
    <row r="664" ht="14.25" customHeight="1">
      <c r="A664" s="1"/>
    </row>
    <row r="665" ht="14.25" customHeight="1">
      <c r="A665" s="1"/>
    </row>
    <row r="666" ht="14.25" customHeight="1">
      <c r="A666" s="1"/>
    </row>
    <row r="667" ht="14.25" customHeight="1">
      <c r="A667" s="1"/>
    </row>
    <row r="668" ht="14.25" customHeight="1">
      <c r="A668" s="1"/>
    </row>
    <row r="669" ht="14.25" customHeight="1">
      <c r="A669" s="1"/>
    </row>
    <row r="670" ht="14.25" customHeight="1">
      <c r="A670" s="1"/>
    </row>
    <row r="671" ht="14.25" customHeight="1">
      <c r="A671" s="1"/>
    </row>
    <row r="672" ht="14.25" customHeight="1">
      <c r="A672" s="1"/>
    </row>
    <row r="673" ht="14.25" customHeight="1">
      <c r="A673" s="1"/>
    </row>
    <row r="674" ht="14.25" customHeight="1">
      <c r="A674" s="1"/>
    </row>
    <row r="675" ht="14.25" customHeight="1">
      <c r="A675" s="1"/>
    </row>
    <row r="676" ht="14.25" customHeight="1">
      <c r="A676" s="1"/>
    </row>
    <row r="677" ht="14.25" customHeight="1">
      <c r="A677" s="1"/>
    </row>
    <row r="678" ht="14.25" customHeight="1">
      <c r="A678" s="1"/>
    </row>
    <row r="679" ht="14.25" customHeight="1">
      <c r="A679" s="1"/>
    </row>
    <row r="680" ht="14.25" customHeight="1">
      <c r="A680" s="1"/>
    </row>
    <row r="681" ht="14.25" customHeight="1">
      <c r="A681" s="1"/>
    </row>
    <row r="682" ht="14.25" customHeight="1">
      <c r="A682" s="1"/>
    </row>
    <row r="683" ht="14.25" customHeight="1">
      <c r="A683" s="1"/>
    </row>
    <row r="684" ht="14.25" customHeight="1">
      <c r="A684" s="1"/>
    </row>
    <row r="685" ht="14.25" customHeight="1">
      <c r="A685" s="1"/>
    </row>
    <row r="686" ht="14.25" customHeight="1">
      <c r="A686" s="1"/>
    </row>
    <row r="687" ht="14.25" customHeight="1">
      <c r="A687" s="1"/>
    </row>
    <row r="688" ht="14.25" customHeight="1">
      <c r="A688" s="1"/>
    </row>
    <row r="689" ht="14.25" customHeight="1">
      <c r="A689" s="1"/>
    </row>
    <row r="690" ht="14.25" customHeight="1">
      <c r="A690" s="1"/>
    </row>
    <row r="691" ht="14.25" customHeight="1">
      <c r="A691" s="1"/>
    </row>
    <row r="692" ht="14.25" customHeight="1">
      <c r="A692" s="1"/>
    </row>
    <row r="693" ht="14.25" customHeight="1">
      <c r="A693" s="1"/>
    </row>
    <row r="694" ht="14.25" customHeight="1">
      <c r="A694" s="1"/>
    </row>
    <row r="695" ht="14.25" customHeight="1">
      <c r="A695" s="1"/>
    </row>
    <row r="696" ht="14.25" customHeight="1">
      <c r="A696" s="1"/>
    </row>
    <row r="697" ht="14.25" customHeight="1">
      <c r="A697" s="1"/>
    </row>
    <row r="698" ht="14.25" customHeight="1">
      <c r="A698" s="1"/>
    </row>
    <row r="699" ht="14.25" customHeight="1">
      <c r="A699" s="1"/>
    </row>
    <row r="700" ht="14.25" customHeight="1">
      <c r="A700" s="1"/>
    </row>
    <row r="701" ht="14.25" customHeight="1">
      <c r="A701" s="1"/>
    </row>
    <row r="702" ht="14.25" customHeight="1">
      <c r="A702" s="1"/>
    </row>
    <row r="703" ht="14.25" customHeight="1">
      <c r="A703" s="1"/>
    </row>
    <row r="704" ht="14.25" customHeight="1">
      <c r="A704" s="1"/>
    </row>
    <row r="705" ht="14.25" customHeight="1">
      <c r="A705" s="1"/>
    </row>
    <row r="706" ht="14.25" customHeight="1">
      <c r="A706" s="1"/>
    </row>
    <row r="707" ht="14.25" customHeight="1">
      <c r="A707" s="1"/>
    </row>
    <row r="708" ht="14.25" customHeight="1">
      <c r="A708" s="1"/>
    </row>
    <row r="709" ht="14.25" customHeight="1">
      <c r="A709" s="1"/>
    </row>
    <row r="710" ht="14.25" customHeight="1">
      <c r="A710" s="1"/>
    </row>
    <row r="711" ht="14.25" customHeight="1">
      <c r="A711" s="1"/>
    </row>
    <row r="712" ht="14.25" customHeight="1">
      <c r="A712" s="1"/>
    </row>
    <row r="713" ht="14.25" customHeight="1">
      <c r="A713" s="1"/>
    </row>
    <row r="714" ht="14.25" customHeight="1">
      <c r="A714" s="1"/>
    </row>
    <row r="715" ht="14.25" customHeight="1">
      <c r="A715" s="1"/>
    </row>
    <row r="716" ht="14.25" customHeight="1">
      <c r="A716" s="1"/>
    </row>
    <row r="717" ht="14.25" customHeight="1">
      <c r="A717" s="1"/>
    </row>
    <row r="718" ht="14.25" customHeight="1">
      <c r="A718" s="1"/>
    </row>
    <row r="719" ht="14.25" customHeight="1">
      <c r="A719" s="1"/>
    </row>
    <row r="720" ht="14.25" customHeight="1">
      <c r="A720" s="1"/>
    </row>
    <row r="721" ht="14.25" customHeight="1">
      <c r="A721" s="1"/>
    </row>
    <row r="722" ht="14.25" customHeight="1">
      <c r="A722" s="1"/>
    </row>
    <row r="723" ht="14.25" customHeight="1">
      <c r="A723" s="1"/>
    </row>
    <row r="724" ht="14.25" customHeight="1">
      <c r="A724" s="1"/>
    </row>
    <row r="725" ht="14.25" customHeight="1">
      <c r="A725" s="1"/>
    </row>
    <row r="726" ht="14.25" customHeight="1">
      <c r="A726" s="1"/>
    </row>
    <row r="727" ht="14.25" customHeight="1">
      <c r="A727" s="1"/>
    </row>
    <row r="728" ht="14.25" customHeight="1">
      <c r="A728" s="1"/>
    </row>
    <row r="729" ht="14.25" customHeight="1">
      <c r="A729" s="1"/>
    </row>
    <row r="730" ht="14.25" customHeight="1">
      <c r="A730" s="1"/>
    </row>
    <row r="731" ht="14.25" customHeight="1">
      <c r="A731" s="1"/>
    </row>
    <row r="732" ht="14.25" customHeight="1">
      <c r="A732" s="1"/>
    </row>
    <row r="733" ht="14.25" customHeight="1">
      <c r="A733" s="1"/>
    </row>
    <row r="734" ht="14.25" customHeight="1">
      <c r="A734" s="1"/>
    </row>
    <row r="735" ht="14.25" customHeight="1">
      <c r="A735" s="1"/>
    </row>
    <row r="736" ht="14.25" customHeight="1">
      <c r="A736" s="1"/>
    </row>
    <row r="737" ht="14.25" customHeight="1">
      <c r="A737" s="1"/>
    </row>
    <row r="738" ht="14.25" customHeight="1">
      <c r="A738" s="1"/>
    </row>
    <row r="739" ht="14.25" customHeight="1">
      <c r="A739" s="1"/>
    </row>
    <row r="740" ht="14.25" customHeight="1">
      <c r="A740" s="1"/>
    </row>
    <row r="741" ht="14.25" customHeight="1">
      <c r="A741" s="1"/>
    </row>
    <row r="742" ht="14.25" customHeight="1">
      <c r="A742" s="1"/>
    </row>
    <row r="743" ht="14.25" customHeight="1">
      <c r="A743" s="1"/>
    </row>
    <row r="744" ht="14.25" customHeight="1">
      <c r="A744" s="1"/>
    </row>
    <row r="745" ht="14.25" customHeight="1">
      <c r="A745" s="1"/>
    </row>
    <row r="746" ht="14.25" customHeight="1">
      <c r="A746" s="1"/>
    </row>
    <row r="747" ht="14.25" customHeight="1">
      <c r="A747" s="1"/>
    </row>
    <row r="748" ht="14.25" customHeight="1">
      <c r="A748" s="1"/>
    </row>
    <row r="749" ht="14.25" customHeight="1">
      <c r="A749" s="1"/>
    </row>
    <row r="750" ht="14.25" customHeight="1">
      <c r="A750" s="1"/>
    </row>
    <row r="751" ht="14.25" customHeight="1">
      <c r="A751" s="1"/>
    </row>
    <row r="752" ht="14.25" customHeight="1">
      <c r="A752" s="1"/>
    </row>
    <row r="753" ht="14.25" customHeight="1">
      <c r="A753" s="1"/>
    </row>
    <row r="754" ht="14.25" customHeight="1">
      <c r="A754" s="1"/>
    </row>
    <row r="755" ht="14.25" customHeight="1">
      <c r="A755" s="1"/>
    </row>
    <row r="756" ht="14.25" customHeight="1">
      <c r="A756" s="1"/>
    </row>
    <row r="757" ht="14.25" customHeight="1">
      <c r="A757" s="1"/>
    </row>
    <row r="758" ht="14.25" customHeight="1">
      <c r="A758" s="1"/>
    </row>
    <row r="759" ht="14.25" customHeight="1">
      <c r="A759" s="1"/>
    </row>
    <row r="760" ht="14.25" customHeight="1">
      <c r="A760" s="1"/>
    </row>
    <row r="761" ht="14.25" customHeight="1">
      <c r="A761" s="1"/>
    </row>
    <row r="762" ht="14.25" customHeight="1">
      <c r="A762" s="1"/>
    </row>
    <row r="763" ht="14.25" customHeight="1">
      <c r="A763" s="1"/>
    </row>
    <row r="764" ht="14.25" customHeight="1">
      <c r="A764" s="1"/>
    </row>
    <row r="765" ht="14.25" customHeight="1">
      <c r="A765" s="1"/>
    </row>
    <row r="766" ht="14.25" customHeight="1">
      <c r="A766" s="1"/>
    </row>
    <row r="767" ht="14.25" customHeight="1">
      <c r="A767" s="1"/>
    </row>
    <row r="768" ht="14.25" customHeight="1">
      <c r="A768" s="1"/>
    </row>
    <row r="769" ht="14.25" customHeight="1">
      <c r="A769" s="1"/>
    </row>
    <row r="770" ht="14.25" customHeight="1">
      <c r="A770" s="1"/>
    </row>
    <row r="771" ht="14.25" customHeight="1">
      <c r="A771" s="1"/>
    </row>
    <row r="772" ht="14.25" customHeight="1">
      <c r="A772" s="1"/>
    </row>
    <row r="773" ht="14.25" customHeight="1">
      <c r="A773" s="1"/>
    </row>
    <row r="774" ht="14.25" customHeight="1">
      <c r="A774" s="1"/>
    </row>
    <row r="775" ht="14.25" customHeight="1">
      <c r="A775" s="1"/>
    </row>
    <row r="776" ht="14.25" customHeight="1">
      <c r="A776" s="1"/>
    </row>
    <row r="777" ht="14.25" customHeight="1">
      <c r="A777" s="1"/>
    </row>
    <row r="778" ht="14.25" customHeight="1">
      <c r="A778" s="1"/>
    </row>
    <row r="779" ht="14.25" customHeight="1">
      <c r="A779" s="1"/>
    </row>
    <row r="780" ht="14.25" customHeight="1">
      <c r="A780" s="1"/>
    </row>
    <row r="781" ht="14.25" customHeight="1">
      <c r="A781" s="1"/>
    </row>
    <row r="782" ht="14.25" customHeight="1">
      <c r="A782" s="1"/>
    </row>
    <row r="783" ht="14.25" customHeight="1">
      <c r="A783" s="1"/>
    </row>
    <row r="784" ht="14.25" customHeight="1">
      <c r="A784" s="1"/>
    </row>
    <row r="785" ht="14.25" customHeight="1">
      <c r="A785" s="1"/>
    </row>
    <row r="786" ht="14.25" customHeight="1">
      <c r="A786" s="1"/>
    </row>
    <row r="787" ht="14.25" customHeight="1">
      <c r="A787" s="1"/>
    </row>
    <row r="788" ht="14.25" customHeight="1">
      <c r="A788" s="1"/>
    </row>
    <row r="789" ht="14.25" customHeight="1">
      <c r="A789" s="1"/>
    </row>
    <row r="790" ht="14.25" customHeight="1">
      <c r="A790" s="1"/>
    </row>
    <row r="791" ht="14.25" customHeight="1">
      <c r="A791" s="1"/>
    </row>
    <row r="792" ht="14.25" customHeight="1">
      <c r="A792" s="1"/>
    </row>
    <row r="793" ht="14.25" customHeight="1">
      <c r="A793" s="1"/>
    </row>
    <row r="794" ht="14.25" customHeight="1">
      <c r="A794" s="1"/>
    </row>
    <row r="795" ht="14.25" customHeight="1">
      <c r="A795" s="1"/>
    </row>
    <row r="796" ht="14.25" customHeight="1">
      <c r="A796" s="1"/>
    </row>
    <row r="797" ht="14.25" customHeight="1">
      <c r="A797" s="1"/>
    </row>
    <row r="798" ht="14.25" customHeight="1">
      <c r="A798" s="1"/>
    </row>
    <row r="799" ht="14.25" customHeight="1">
      <c r="A799" s="1"/>
    </row>
    <row r="800" ht="14.25" customHeight="1">
      <c r="A800" s="1"/>
    </row>
    <row r="801" ht="14.25" customHeight="1">
      <c r="A801" s="1"/>
    </row>
    <row r="802" ht="14.25" customHeight="1">
      <c r="A802" s="1"/>
    </row>
    <row r="803" ht="14.25" customHeight="1">
      <c r="A803" s="1"/>
    </row>
    <row r="804" ht="14.25" customHeight="1">
      <c r="A804" s="1"/>
    </row>
    <row r="805" ht="14.25" customHeight="1">
      <c r="A805" s="1"/>
    </row>
    <row r="806" ht="14.25" customHeight="1">
      <c r="A806" s="1"/>
    </row>
    <row r="807" ht="14.25" customHeight="1">
      <c r="A807" s="1"/>
    </row>
    <row r="808" ht="14.25" customHeight="1">
      <c r="A808" s="1"/>
    </row>
    <row r="809" ht="14.25" customHeight="1">
      <c r="A809" s="1"/>
    </row>
    <row r="810" ht="14.25" customHeight="1">
      <c r="A810" s="1"/>
    </row>
    <row r="811" ht="14.25" customHeight="1">
      <c r="A811" s="1"/>
    </row>
    <row r="812" ht="14.25" customHeight="1">
      <c r="A812" s="1"/>
    </row>
    <row r="813" ht="14.25" customHeight="1">
      <c r="A813" s="1"/>
    </row>
    <row r="814" ht="14.25" customHeight="1">
      <c r="A814" s="1"/>
    </row>
    <row r="815" ht="14.25" customHeight="1">
      <c r="A815" s="1"/>
    </row>
    <row r="816" ht="14.25" customHeight="1">
      <c r="A816" s="1"/>
    </row>
    <row r="817" ht="14.25" customHeight="1">
      <c r="A817" s="1"/>
    </row>
    <row r="818" ht="14.25" customHeight="1">
      <c r="A818" s="1"/>
    </row>
    <row r="819" ht="14.25" customHeight="1">
      <c r="A819" s="1"/>
    </row>
    <row r="820" ht="14.25" customHeight="1">
      <c r="A820" s="1"/>
    </row>
    <row r="821" ht="14.25" customHeight="1">
      <c r="A821" s="1"/>
    </row>
    <row r="822" ht="14.25" customHeight="1">
      <c r="A822" s="1"/>
    </row>
    <row r="823" ht="14.25" customHeight="1">
      <c r="A823" s="1"/>
    </row>
    <row r="824" ht="14.25" customHeight="1">
      <c r="A824" s="1"/>
    </row>
    <row r="825" ht="14.25" customHeight="1">
      <c r="A825" s="1"/>
    </row>
    <row r="826" ht="14.25" customHeight="1">
      <c r="A826" s="1"/>
    </row>
    <row r="827" ht="14.25" customHeight="1">
      <c r="A827" s="1"/>
    </row>
    <row r="828" ht="14.25" customHeight="1">
      <c r="A828" s="1"/>
    </row>
    <row r="829" ht="14.25" customHeight="1">
      <c r="A829" s="1"/>
    </row>
    <row r="830" ht="14.25" customHeight="1">
      <c r="A830" s="1"/>
    </row>
    <row r="831" ht="14.25" customHeight="1">
      <c r="A831" s="1"/>
    </row>
    <row r="832" ht="14.25" customHeight="1">
      <c r="A832" s="1"/>
    </row>
    <row r="833" ht="14.25" customHeight="1">
      <c r="A833" s="1"/>
    </row>
    <row r="834" ht="14.25" customHeight="1">
      <c r="A834" s="1"/>
    </row>
    <row r="835" ht="14.25" customHeight="1">
      <c r="A835" s="1"/>
    </row>
    <row r="836" ht="14.25" customHeight="1">
      <c r="A836" s="1"/>
    </row>
    <row r="837" ht="14.25" customHeight="1">
      <c r="A837" s="1"/>
    </row>
    <row r="838" ht="14.25" customHeight="1">
      <c r="A838" s="1"/>
    </row>
    <row r="839" ht="14.25" customHeight="1">
      <c r="A839" s="1"/>
    </row>
    <row r="840" ht="14.25" customHeight="1">
      <c r="A840" s="1"/>
    </row>
    <row r="841" ht="14.25" customHeight="1">
      <c r="A841" s="1"/>
    </row>
    <row r="842" ht="14.25" customHeight="1">
      <c r="A842" s="1"/>
    </row>
    <row r="843" ht="14.25" customHeight="1">
      <c r="A843" s="1"/>
    </row>
    <row r="844" ht="14.25" customHeight="1">
      <c r="A844" s="1"/>
    </row>
    <row r="845" ht="14.25" customHeight="1">
      <c r="A845" s="1"/>
    </row>
    <row r="846" ht="14.25" customHeight="1">
      <c r="A846" s="1"/>
    </row>
    <row r="847" ht="14.25" customHeight="1">
      <c r="A847" s="1"/>
    </row>
    <row r="848" ht="14.25" customHeight="1">
      <c r="A848" s="1"/>
    </row>
    <row r="849" ht="14.25" customHeight="1">
      <c r="A849" s="1"/>
    </row>
    <row r="850" ht="14.25" customHeight="1">
      <c r="A850" s="1"/>
    </row>
    <row r="851" ht="14.25" customHeight="1">
      <c r="A851" s="1"/>
    </row>
    <row r="852" ht="14.25" customHeight="1">
      <c r="A852" s="1"/>
    </row>
    <row r="853" ht="14.25" customHeight="1">
      <c r="A853" s="1"/>
    </row>
    <row r="854" ht="14.25" customHeight="1">
      <c r="A854" s="1"/>
    </row>
    <row r="855" ht="14.25" customHeight="1">
      <c r="A855" s="1"/>
    </row>
    <row r="856" ht="14.25" customHeight="1">
      <c r="A856" s="1"/>
    </row>
    <row r="857" ht="14.25" customHeight="1">
      <c r="A857" s="1"/>
    </row>
    <row r="858" ht="14.25" customHeight="1">
      <c r="A858" s="1"/>
    </row>
    <row r="859" ht="14.25" customHeight="1">
      <c r="A859" s="1"/>
    </row>
    <row r="860" ht="14.25" customHeight="1">
      <c r="A860" s="1"/>
    </row>
    <row r="861" ht="14.25" customHeight="1">
      <c r="A861" s="1"/>
    </row>
    <row r="862" ht="14.25" customHeight="1">
      <c r="A862" s="1"/>
    </row>
    <row r="863" ht="14.25" customHeight="1">
      <c r="A863" s="1"/>
    </row>
    <row r="864" ht="14.25" customHeight="1">
      <c r="A864" s="1"/>
    </row>
    <row r="865" ht="14.25" customHeight="1">
      <c r="A865" s="1"/>
    </row>
    <row r="866" ht="14.25" customHeight="1">
      <c r="A866" s="1"/>
    </row>
    <row r="867" ht="14.25" customHeight="1">
      <c r="A867" s="1"/>
    </row>
    <row r="868" ht="14.25" customHeight="1">
      <c r="A868" s="1"/>
    </row>
    <row r="869" ht="14.25" customHeight="1">
      <c r="A869" s="1"/>
    </row>
    <row r="870" ht="14.25" customHeight="1">
      <c r="A870" s="1"/>
    </row>
    <row r="871" ht="14.25" customHeight="1">
      <c r="A871" s="1"/>
    </row>
    <row r="872" ht="14.25" customHeight="1">
      <c r="A872" s="1"/>
    </row>
    <row r="873" ht="14.25" customHeight="1">
      <c r="A873" s="1"/>
    </row>
    <row r="874" ht="14.25" customHeight="1">
      <c r="A874" s="1"/>
    </row>
    <row r="875" ht="14.25" customHeight="1">
      <c r="A875" s="1"/>
    </row>
    <row r="876" ht="14.25" customHeight="1">
      <c r="A876" s="1"/>
    </row>
    <row r="877" ht="14.25" customHeight="1">
      <c r="A877" s="1"/>
    </row>
    <row r="878" ht="14.25" customHeight="1">
      <c r="A878" s="1"/>
    </row>
    <row r="879" ht="14.25" customHeight="1">
      <c r="A879" s="1"/>
    </row>
    <row r="880" ht="14.25" customHeight="1">
      <c r="A880" s="1"/>
    </row>
    <row r="881" ht="14.25" customHeight="1">
      <c r="A881" s="1"/>
    </row>
    <row r="882" ht="14.25" customHeight="1">
      <c r="A882" s="1"/>
    </row>
    <row r="883" ht="14.25" customHeight="1">
      <c r="A883" s="1"/>
    </row>
    <row r="884" ht="14.25" customHeight="1">
      <c r="A884" s="1"/>
    </row>
    <row r="885" ht="14.25" customHeight="1">
      <c r="A885" s="1"/>
    </row>
    <row r="886" ht="14.25" customHeight="1">
      <c r="A886" s="1"/>
    </row>
    <row r="887" ht="14.25" customHeight="1">
      <c r="A887" s="1"/>
    </row>
    <row r="888" ht="14.25" customHeight="1">
      <c r="A888" s="1"/>
    </row>
    <row r="889" ht="14.25" customHeight="1">
      <c r="A889" s="1"/>
    </row>
    <row r="890" ht="14.25" customHeight="1">
      <c r="A890" s="1"/>
    </row>
    <row r="891" ht="14.25" customHeight="1">
      <c r="A891" s="1"/>
    </row>
    <row r="892" ht="14.25" customHeight="1">
      <c r="A892" s="1"/>
    </row>
    <row r="893" ht="14.25" customHeight="1">
      <c r="A893" s="1"/>
    </row>
    <row r="894" ht="14.25" customHeight="1">
      <c r="A894" s="1"/>
    </row>
    <row r="895" ht="14.25" customHeight="1">
      <c r="A895" s="1"/>
    </row>
    <row r="896" ht="14.25" customHeight="1">
      <c r="A896" s="1"/>
    </row>
    <row r="897" ht="14.25" customHeight="1">
      <c r="A897" s="1"/>
    </row>
    <row r="898" ht="14.25" customHeight="1">
      <c r="A898" s="1"/>
    </row>
    <row r="899" ht="14.25" customHeight="1">
      <c r="A899" s="1"/>
    </row>
    <row r="900" ht="14.25" customHeight="1">
      <c r="A900" s="1"/>
    </row>
    <row r="901" ht="14.25" customHeight="1">
      <c r="A901" s="1"/>
    </row>
    <row r="902" ht="14.25" customHeight="1">
      <c r="A902" s="1"/>
    </row>
    <row r="903" ht="14.25" customHeight="1">
      <c r="A903" s="1"/>
    </row>
    <row r="904" ht="14.25" customHeight="1">
      <c r="A904" s="1"/>
    </row>
    <row r="905" ht="14.25" customHeight="1">
      <c r="A905" s="1"/>
    </row>
    <row r="906" ht="14.25" customHeight="1">
      <c r="A906" s="1"/>
    </row>
    <row r="907" ht="14.25" customHeight="1">
      <c r="A907" s="1"/>
    </row>
    <row r="908" ht="14.25" customHeight="1">
      <c r="A908" s="1"/>
    </row>
    <row r="909" ht="14.25" customHeight="1">
      <c r="A909" s="1"/>
    </row>
    <row r="910" ht="14.25" customHeight="1">
      <c r="A910" s="1"/>
    </row>
    <row r="911" ht="14.25" customHeight="1">
      <c r="A911" s="1"/>
    </row>
    <row r="912" ht="14.25" customHeight="1">
      <c r="A912" s="1"/>
    </row>
    <row r="913" ht="14.25" customHeight="1">
      <c r="A913" s="1"/>
    </row>
    <row r="914" ht="14.25" customHeight="1">
      <c r="A914" s="1"/>
    </row>
    <row r="915" ht="14.25" customHeight="1">
      <c r="A915" s="1"/>
    </row>
    <row r="916" ht="14.25" customHeight="1">
      <c r="A916" s="1"/>
    </row>
    <row r="917" ht="14.25" customHeight="1">
      <c r="A917" s="1"/>
    </row>
    <row r="918" ht="14.25" customHeight="1">
      <c r="A918" s="1"/>
    </row>
    <row r="919" ht="14.25" customHeight="1">
      <c r="A919" s="1"/>
    </row>
    <row r="920" ht="14.25" customHeight="1">
      <c r="A920" s="1"/>
    </row>
    <row r="921" ht="14.25" customHeight="1">
      <c r="A921" s="1"/>
    </row>
    <row r="922" ht="14.25" customHeight="1">
      <c r="A922" s="1"/>
    </row>
    <row r="923" ht="14.25" customHeight="1">
      <c r="A923" s="1"/>
    </row>
    <row r="924" ht="14.25" customHeight="1">
      <c r="A924" s="1"/>
    </row>
    <row r="925" ht="14.25" customHeight="1">
      <c r="A925" s="1"/>
    </row>
    <row r="926" ht="14.25" customHeight="1">
      <c r="A926" s="1"/>
    </row>
    <row r="927" ht="14.25" customHeight="1">
      <c r="A927" s="1"/>
    </row>
    <row r="928" ht="14.25" customHeight="1">
      <c r="A928" s="1"/>
    </row>
    <row r="929" ht="14.25" customHeight="1">
      <c r="A929" s="1"/>
    </row>
    <row r="930" ht="14.25" customHeight="1">
      <c r="A930" s="1"/>
    </row>
    <row r="931" ht="14.25" customHeight="1">
      <c r="A931" s="1"/>
    </row>
    <row r="932" ht="14.25" customHeight="1">
      <c r="A932" s="1"/>
    </row>
    <row r="933" ht="14.25" customHeight="1">
      <c r="A933" s="1"/>
    </row>
    <row r="934" ht="14.25" customHeight="1">
      <c r="A934" s="1"/>
    </row>
    <row r="935" ht="14.25" customHeight="1">
      <c r="A935" s="1"/>
    </row>
    <row r="936" ht="14.25" customHeight="1">
      <c r="A936" s="1"/>
    </row>
    <row r="937" ht="14.25" customHeight="1">
      <c r="A937" s="1"/>
    </row>
    <row r="938" ht="14.25" customHeight="1">
      <c r="A938" s="1"/>
    </row>
    <row r="939" ht="14.25" customHeight="1">
      <c r="A939" s="1"/>
    </row>
    <row r="940" ht="14.25" customHeight="1">
      <c r="A940" s="1"/>
    </row>
    <row r="941" ht="14.25" customHeight="1">
      <c r="A941" s="1"/>
    </row>
    <row r="942" ht="14.25" customHeight="1">
      <c r="A942" s="1"/>
    </row>
    <row r="943" ht="14.25" customHeight="1">
      <c r="A943" s="1"/>
    </row>
    <row r="944" ht="14.25" customHeight="1">
      <c r="A944" s="1"/>
    </row>
    <row r="945" ht="14.25" customHeight="1">
      <c r="A945" s="1"/>
    </row>
    <row r="946" ht="14.25" customHeight="1">
      <c r="A946" s="1"/>
    </row>
    <row r="947" ht="14.25" customHeight="1">
      <c r="A947" s="1"/>
    </row>
    <row r="948" ht="14.25" customHeight="1">
      <c r="A948" s="1"/>
    </row>
    <row r="949" ht="14.25" customHeight="1">
      <c r="A949" s="1"/>
    </row>
    <row r="950" ht="14.25" customHeight="1">
      <c r="A950" s="1"/>
    </row>
    <row r="951" ht="14.25" customHeight="1">
      <c r="A951" s="1"/>
    </row>
    <row r="952" ht="14.25" customHeight="1">
      <c r="A952" s="1"/>
    </row>
    <row r="953" ht="14.25" customHeight="1">
      <c r="A953" s="1"/>
    </row>
    <row r="954" ht="14.25" customHeight="1">
      <c r="A954" s="1"/>
    </row>
    <row r="955" ht="14.25" customHeight="1">
      <c r="A955" s="1"/>
    </row>
    <row r="956" ht="14.25" customHeight="1">
      <c r="A956" s="1"/>
    </row>
    <row r="957" ht="14.25" customHeight="1">
      <c r="A957" s="1"/>
    </row>
    <row r="958" ht="14.25" customHeight="1">
      <c r="A958" s="1"/>
    </row>
    <row r="959" ht="14.25" customHeight="1">
      <c r="A959" s="1"/>
    </row>
    <row r="960" ht="14.25" customHeight="1">
      <c r="A960" s="1"/>
    </row>
    <row r="961" ht="14.25" customHeight="1">
      <c r="A961" s="1"/>
    </row>
    <row r="962" ht="14.25" customHeight="1">
      <c r="A962" s="1"/>
    </row>
    <row r="963" ht="14.25" customHeight="1">
      <c r="A963" s="1"/>
    </row>
    <row r="964" ht="14.25" customHeight="1">
      <c r="A964" s="1"/>
    </row>
    <row r="965" ht="14.25" customHeight="1">
      <c r="A965" s="1"/>
    </row>
    <row r="966" ht="14.25" customHeight="1">
      <c r="A966" s="1"/>
    </row>
    <row r="967" ht="14.25" customHeight="1">
      <c r="A967" s="1"/>
    </row>
    <row r="968" ht="14.25" customHeight="1">
      <c r="A968" s="1"/>
    </row>
    <row r="969" ht="14.25" customHeight="1">
      <c r="A969" s="1"/>
    </row>
    <row r="970" ht="14.25" customHeight="1">
      <c r="A970" s="1"/>
    </row>
    <row r="971" ht="14.25" customHeight="1">
      <c r="A971" s="1"/>
    </row>
    <row r="972" ht="14.25" customHeight="1">
      <c r="A972" s="1"/>
    </row>
    <row r="973" ht="14.25" customHeight="1">
      <c r="A973" s="1"/>
    </row>
    <row r="974" ht="14.25" customHeight="1">
      <c r="A974" s="1"/>
    </row>
    <row r="975" ht="14.25" customHeight="1">
      <c r="A975" s="1"/>
    </row>
    <row r="976" ht="14.25" customHeight="1">
      <c r="A976" s="1"/>
    </row>
    <row r="977" ht="14.25" customHeight="1">
      <c r="A977" s="1"/>
    </row>
    <row r="978" ht="14.25" customHeight="1">
      <c r="A978" s="1"/>
    </row>
    <row r="979" ht="14.25" customHeight="1">
      <c r="A979" s="1"/>
    </row>
    <row r="980" ht="14.25" customHeight="1">
      <c r="A980" s="1"/>
    </row>
    <row r="981" ht="14.25" customHeight="1">
      <c r="A981" s="1"/>
    </row>
    <row r="982" ht="14.25" customHeight="1">
      <c r="A982" s="1"/>
    </row>
    <row r="983" ht="14.25" customHeight="1">
      <c r="A983" s="1"/>
    </row>
    <row r="984" ht="14.25" customHeight="1">
      <c r="A984" s="1"/>
    </row>
    <row r="985" ht="14.25" customHeight="1">
      <c r="A985" s="1"/>
    </row>
    <row r="986" ht="14.25" customHeight="1">
      <c r="A986" s="1"/>
    </row>
    <row r="987" ht="14.25" customHeight="1">
      <c r="A987" s="1"/>
    </row>
    <row r="988" ht="14.25" customHeight="1">
      <c r="A988" s="1"/>
    </row>
    <row r="989" ht="14.25" customHeight="1">
      <c r="A989" s="1"/>
    </row>
    <row r="990" ht="14.25" customHeight="1">
      <c r="A990" s="1"/>
    </row>
    <row r="991" ht="14.25" customHeight="1">
      <c r="A991" s="1"/>
    </row>
    <row r="992" ht="14.25" customHeight="1">
      <c r="A992" s="1"/>
    </row>
    <row r="993" ht="14.25" customHeight="1">
      <c r="A993" s="1"/>
    </row>
    <row r="994" ht="14.25" customHeight="1">
      <c r="A994" s="1"/>
    </row>
    <row r="995" ht="14.25" customHeight="1">
      <c r="A995" s="1"/>
    </row>
    <row r="996" ht="14.25" customHeight="1">
      <c r="A996" s="1"/>
    </row>
    <row r="997" ht="14.25" customHeight="1">
      <c r="A997" s="1"/>
    </row>
    <row r="998" ht="14.25" customHeight="1">
      <c r="A998" s="1"/>
    </row>
    <row r="999" ht="14.25" customHeight="1">
      <c r="A999" s="1"/>
    </row>
    <row r="1000" ht="14.25" customHeight="1">
      <c r="A1000" s="1"/>
    </row>
  </sheetData>
  <printOptions/>
  <pageMargins bottom="0.75" footer="0.0" header="0.0" left="0.7" right="0.7" top="0.75"/>
  <pageSetup orientation="portrait"/>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xSplit="3.0" ySplit="1.0" topLeftCell="D2" activePane="bottomRight" state="frozen"/>
      <selection activeCell="D1" sqref="D1" pane="topRight"/>
      <selection activeCell="A2" sqref="A2" pane="bottomLeft"/>
      <selection activeCell="D2" sqref="D2" pane="bottomRight"/>
    </sheetView>
  </sheetViews>
  <sheetFormatPr customHeight="1" defaultColWidth="14.43" defaultRowHeight="15.0"/>
  <cols>
    <col customWidth="1" min="1" max="1" width="6.0"/>
    <col customWidth="1" min="2" max="2" width="17.43"/>
    <col customWidth="1" min="3" max="5" width="30.71"/>
    <col customWidth="1" min="6" max="6" width="91.57"/>
    <col customWidth="1" min="7" max="8" width="30.71"/>
    <col customWidth="1" min="9" max="9" width="157.57"/>
    <col customWidth="1" min="10" max="11" width="30.71"/>
    <col customWidth="1" min="12" max="12" width="68.71"/>
    <col customWidth="1" min="13" max="13" width="30.71"/>
    <col customWidth="1" min="14" max="14" width="26.29"/>
    <col customWidth="1" min="15" max="15" width="125.0"/>
    <col customWidth="1" min="16" max="21" width="34.57"/>
    <col customWidth="1" min="22" max="22" width="20.71"/>
    <col customWidth="1" min="23" max="24" width="26.71"/>
    <col customWidth="1" min="25" max="25" width="43.57"/>
    <col customWidth="1" min="26" max="26" width="26.71"/>
    <col customWidth="1" min="27" max="32" width="54.43"/>
    <col customWidth="1" min="33" max="34" width="26.71"/>
  </cols>
  <sheetData>
    <row r="1" ht="14.25" customHeight="1">
      <c r="A1" s="3" t="s">
        <v>6</v>
      </c>
      <c r="B1" s="3" t="s">
        <v>7</v>
      </c>
      <c r="C1" s="3" t="s">
        <v>8</v>
      </c>
      <c r="D1" s="3" t="s">
        <v>9</v>
      </c>
      <c r="E1" s="3" t="s">
        <v>10</v>
      </c>
      <c r="F1" s="3" t="s">
        <v>11</v>
      </c>
      <c r="G1" s="3" t="s">
        <v>12</v>
      </c>
      <c r="H1" s="3" t="s">
        <v>13</v>
      </c>
      <c r="I1" s="3" t="s">
        <v>14</v>
      </c>
      <c r="J1" s="4" t="s">
        <v>15</v>
      </c>
      <c r="K1" s="4" t="s">
        <v>16</v>
      </c>
      <c r="L1" s="4" t="s">
        <v>17</v>
      </c>
      <c r="M1" s="4" t="s">
        <v>18</v>
      </c>
      <c r="N1" s="4" t="s">
        <v>19</v>
      </c>
      <c r="O1" s="4" t="s">
        <v>20</v>
      </c>
      <c r="P1" s="4" t="s">
        <v>21</v>
      </c>
      <c r="Q1" s="4" t="s">
        <v>22</v>
      </c>
      <c r="R1" s="4" t="s">
        <v>23</v>
      </c>
      <c r="S1" s="4" t="s">
        <v>24</v>
      </c>
      <c r="T1" s="4" t="s">
        <v>25</v>
      </c>
      <c r="U1" s="4" t="s">
        <v>26</v>
      </c>
      <c r="V1" s="4" t="s">
        <v>27</v>
      </c>
      <c r="W1" s="4" t="s">
        <v>28</v>
      </c>
      <c r="X1" s="4" t="s">
        <v>29</v>
      </c>
      <c r="Y1" s="4" t="s">
        <v>30</v>
      </c>
      <c r="Z1" s="4" t="s">
        <v>31</v>
      </c>
      <c r="AA1" s="4" t="s">
        <v>32</v>
      </c>
      <c r="AB1" s="4" t="s">
        <v>33</v>
      </c>
      <c r="AC1" s="4" t="s">
        <v>34</v>
      </c>
      <c r="AD1" s="4" t="s">
        <v>35</v>
      </c>
      <c r="AE1" s="4" t="s">
        <v>36</v>
      </c>
      <c r="AF1" s="4" t="s">
        <v>37</v>
      </c>
      <c r="AG1" s="4" t="s">
        <v>38</v>
      </c>
      <c r="AH1" s="4" t="s">
        <v>39</v>
      </c>
    </row>
    <row r="2" ht="14.25" customHeight="1">
      <c r="A2" s="5">
        <v>2016.0</v>
      </c>
      <c r="B2" s="5" t="s">
        <v>40</v>
      </c>
      <c r="C2" s="6" t="s">
        <v>41</v>
      </c>
      <c r="D2" s="1" t="b">
        <v>1</v>
      </c>
      <c r="E2" s="7" t="s">
        <v>42</v>
      </c>
      <c r="F2" s="8" t="s">
        <v>43</v>
      </c>
      <c r="G2" s="1"/>
      <c r="H2" s="1" t="s">
        <v>44</v>
      </c>
      <c r="I2" s="7" t="s">
        <v>45</v>
      </c>
      <c r="J2" s="7"/>
      <c r="K2" s="1"/>
      <c r="L2" s="1" t="str">
        <f t="array" ref="L2">IF(P2="–","","- ["&amp;PROPER(P2)&amp;"]("&amp;GetURL(P2)&amp;")")&amp;IF(Q2="–","","
- ["&amp;PROPER(Q2)&amp;"]("&amp;GetURL(Q2)&amp;")")&amp;IF(R2="–","","
- ["&amp;PROPER(R2)&amp;"]("&amp;GetURL(R2)&amp;")")&amp;IF(S2="–","","
- ["&amp;PROPER(S2)&amp;"]("&amp;GetURL(S2)&amp;")")&amp;IF(T2="–","","
- ["&amp;PROPER(T2)&amp;"]("&amp;GetURL(T2)&amp;")")&amp;IF(U2="–","","
- ["&amp;PROPER(U2)&amp;"]("&amp;GetURL(U2)&amp;")")</f>
        <v>#NAME?</v>
      </c>
      <c r="M2" s="1"/>
      <c r="N2" s="7" t="s">
        <v>46</v>
      </c>
      <c r="O2" s="7" t="s">
        <v>47</v>
      </c>
      <c r="P2" s="9" t="s">
        <v>48</v>
      </c>
      <c r="Q2" s="9" t="s">
        <v>49</v>
      </c>
      <c r="R2" s="9" t="s">
        <v>50</v>
      </c>
      <c r="S2" s="9" t="s">
        <v>51</v>
      </c>
      <c r="T2" s="9" t="s">
        <v>52</v>
      </c>
      <c r="U2" s="9" t="s">
        <v>53</v>
      </c>
      <c r="V2" s="1"/>
      <c r="W2" s="10"/>
      <c r="X2" s="1"/>
      <c r="Y2" s="1"/>
      <c r="Z2" s="1"/>
      <c r="AA2" s="1"/>
      <c r="AB2" s="1"/>
      <c r="AC2" s="1"/>
      <c r="AD2" s="1"/>
      <c r="AE2" s="1"/>
      <c r="AF2" s="1"/>
      <c r="AG2" s="1"/>
      <c r="AH2" s="1"/>
    </row>
    <row r="3" ht="14.25" customHeight="1">
      <c r="A3" s="5">
        <v>2016.0</v>
      </c>
      <c r="B3" s="5" t="s">
        <v>40</v>
      </c>
      <c r="C3" s="6" t="s">
        <v>54</v>
      </c>
      <c r="D3" s="1" t="b">
        <v>1</v>
      </c>
      <c r="E3" s="7" t="s">
        <v>55</v>
      </c>
      <c r="F3" s="8" t="s">
        <v>56</v>
      </c>
      <c r="G3" s="1"/>
      <c r="H3" s="1" t="s">
        <v>57</v>
      </c>
      <c r="I3" s="7" t="s">
        <v>58</v>
      </c>
      <c r="J3" s="7"/>
      <c r="K3" s="1"/>
      <c r="L3" s="1" t="str">
        <f t="array" ref="L3">IF(P3="–","","- ["&amp;P3&amp;"]("&amp;GetURL(P3)&amp;")")&amp;IF(Q3="–","","
- ["&amp;Q3&amp;"]("&amp;GetURL(Q3)&amp;")")&amp;IF(R3="–","","
- ["&amp;R3&amp;"]("&amp;GetURL(R3)&amp;")")&amp;IF(S3="–","","
- ["&amp;S3&amp;"]("&amp;GetURL(S3)&amp;")")&amp;IF(T3="–","","
- ["&amp;T3&amp;"]("&amp;GetURL(T3)&amp;")")&amp;IF(U3="–","","
- ["&amp;U3&amp;"]("&amp;GetURL(U3)&amp;")")</f>
        <v>#NAME?</v>
      </c>
      <c r="M3" s="1"/>
      <c r="N3" s="7" t="s">
        <v>59</v>
      </c>
      <c r="O3" s="7" t="s">
        <v>60</v>
      </c>
      <c r="P3" s="9" t="s">
        <v>61</v>
      </c>
      <c r="Q3" s="9" t="s">
        <v>62</v>
      </c>
      <c r="R3" s="6" t="s">
        <v>63</v>
      </c>
      <c r="S3" s="6" t="s">
        <v>63</v>
      </c>
      <c r="T3" s="9" t="s">
        <v>64</v>
      </c>
      <c r="U3" s="9" t="s">
        <v>65</v>
      </c>
      <c r="V3" s="1"/>
      <c r="W3" s="1"/>
      <c r="X3" s="1"/>
      <c r="Y3" s="1"/>
      <c r="Z3" s="1"/>
      <c r="AA3" s="1"/>
      <c r="AB3" s="1"/>
      <c r="AC3" s="1"/>
      <c r="AD3" s="1"/>
      <c r="AE3" s="1"/>
      <c r="AF3" s="1"/>
      <c r="AG3" s="1"/>
      <c r="AH3" s="1"/>
    </row>
    <row r="4" ht="14.25" customHeight="1">
      <c r="A4" s="5">
        <v>2016.0</v>
      </c>
      <c r="B4" s="5" t="s">
        <v>40</v>
      </c>
      <c r="C4" s="6" t="s">
        <v>66</v>
      </c>
      <c r="D4" s="1" t="b">
        <v>1</v>
      </c>
      <c r="E4" s="7" t="s">
        <v>67</v>
      </c>
      <c r="F4" s="8" t="s">
        <v>68</v>
      </c>
      <c r="G4" s="1"/>
      <c r="H4" s="1"/>
      <c r="I4" s="7" t="s">
        <v>69</v>
      </c>
      <c r="J4" s="7"/>
      <c r="K4" s="1"/>
      <c r="L4" s="1" t="str">
        <f t="array" ref="L4">IF(P4="–","","- ["&amp;P4&amp;"]("&amp;GetURL(P4)&amp;")")&amp;IF(Q4="–","","
- ["&amp;Q4&amp;"]("&amp;GetURL(Q4)&amp;")")&amp;IF(R4="–","","
- ["&amp;R4&amp;"]("&amp;GetURL(R4)&amp;")")&amp;IF(S4="–","","
- ["&amp;S4&amp;"]("&amp;GetURL(S4)&amp;")")&amp;IF(T4="–","","
- ["&amp;T4&amp;"]("&amp;GetURL(T4)&amp;")")&amp;IF(U4="–","","
- ["&amp;U4&amp;"]("&amp;GetURL(U4)&amp;")")</f>
        <v>#NAME?</v>
      </c>
      <c r="M4" s="1"/>
      <c r="N4" s="7" t="s">
        <v>70</v>
      </c>
      <c r="O4" s="6" t="s">
        <v>63</v>
      </c>
      <c r="P4" s="9" t="s">
        <v>71</v>
      </c>
      <c r="Q4" s="6" t="s">
        <v>63</v>
      </c>
      <c r="R4" s="6" t="s">
        <v>63</v>
      </c>
      <c r="S4" s="6" t="s">
        <v>63</v>
      </c>
      <c r="T4" s="9" t="s">
        <v>72</v>
      </c>
      <c r="U4" s="9" t="s">
        <v>73</v>
      </c>
      <c r="V4" s="1"/>
      <c r="W4" s="1"/>
      <c r="X4" s="1"/>
      <c r="Y4" s="1"/>
      <c r="Z4" s="1"/>
      <c r="AA4" s="1"/>
      <c r="AB4" s="1"/>
      <c r="AC4" s="1"/>
      <c r="AD4" s="1"/>
      <c r="AE4" s="1"/>
      <c r="AF4" s="1"/>
      <c r="AG4" s="1"/>
      <c r="AH4" s="1"/>
    </row>
    <row r="5" ht="14.25" customHeight="1">
      <c r="A5" s="5">
        <v>2016.0</v>
      </c>
      <c r="B5" s="5" t="s">
        <v>40</v>
      </c>
      <c r="C5" s="6" t="s">
        <v>74</v>
      </c>
      <c r="D5" s="1" t="b">
        <v>1</v>
      </c>
      <c r="E5" s="11" t="s">
        <v>75</v>
      </c>
      <c r="F5" s="8" t="s">
        <v>76</v>
      </c>
      <c r="G5" s="1"/>
      <c r="H5" s="1"/>
      <c r="I5" s="7" t="s">
        <v>77</v>
      </c>
      <c r="J5" s="6"/>
      <c r="K5" s="1"/>
      <c r="L5" s="1" t="str">
        <f t="array" ref="L5">IF(P5="–","","- ["&amp;P5&amp;"]("&amp;GetURL(P5)&amp;")")&amp;IF(Q5="–","","
- ["&amp;Q5&amp;"]("&amp;GetURL(Q5)&amp;")")&amp;IF(R5="–","","
- ["&amp;R5&amp;"]("&amp;GetURL(R5)&amp;")")&amp;IF(S5="–","","
- ["&amp;S5&amp;"]("&amp;GetURL(S5)&amp;")")&amp;IF(T5="–","","
- ["&amp;T5&amp;"]("&amp;GetURL(T5)&amp;")")&amp;IF(U5="–","","
- ["&amp;U5&amp;"]("&amp;GetURL(U5)&amp;")")</f>
        <v>#NAME?</v>
      </c>
      <c r="M5" s="1"/>
      <c r="N5" s="6"/>
      <c r="O5" s="7" t="s">
        <v>78</v>
      </c>
      <c r="P5" s="9" t="s">
        <v>79</v>
      </c>
      <c r="Q5" s="6" t="s">
        <v>63</v>
      </c>
      <c r="R5" s="6" t="s">
        <v>63</v>
      </c>
      <c r="S5" s="6" t="s">
        <v>63</v>
      </c>
      <c r="T5" s="9" t="s">
        <v>80</v>
      </c>
      <c r="U5" s="9" t="s">
        <v>81</v>
      </c>
      <c r="V5" s="1"/>
      <c r="W5" s="1"/>
      <c r="X5" s="1"/>
      <c r="Y5" s="1"/>
      <c r="Z5" s="1"/>
      <c r="AA5" s="1"/>
      <c r="AB5" s="1"/>
      <c r="AC5" s="1"/>
      <c r="AD5" s="1"/>
      <c r="AE5" s="1"/>
      <c r="AF5" s="1"/>
      <c r="AG5" s="1"/>
      <c r="AH5" s="1"/>
    </row>
    <row r="6" ht="14.25" customHeight="1">
      <c r="A6" s="5">
        <v>2016.0</v>
      </c>
      <c r="B6" s="5" t="s">
        <v>40</v>
      </c>
      <c r="C6" s="6" t="s">
        <v>82</v>
      </c>
      <c r="D6" s="1" t="b">
        <v>1</v>
      </c>
      <c r="E6" s="11" t="s">
        <v>83</v>
      </c>
      <c r="F6" s="8" t="s">
        <v>84</v>
      </c>
      <c r="G6" s="1"/>
      <c r="H6" s="1"/>
      <c r="I6" s="7" t="s">
        <v>85</v>
      </c>
      <c r="J6" s="6"/>
      <c r="K6" s="1"/>
      <c r="L6" s="1" t="str">
        <f t="array" ref="L6">IF(P6="–","","- ["&amp;P6&amp;"]("&amp;GetURL(P6)&amp;")")&amp;IF(Q6="–","","
- ["&amp;Q6&amp;"]("&amp;GetURL(Q6)&amp;")")&amp;IF(R6="–","","
- ["&amp;R6&amp;"]("&amp;GetURL(R6)&amp;")")&amp;IF(S6="–","","
- ["&amp;S6&amp;"]("&amp;GetURL(S6)&amp;")")&amp;IF(T6="–","","
- ["&amp;T6&amp;"]("&amp;GetURL(T6)&amp;")")&amp;IF(U6="–","","
- ["&amp;U6&amp;"]("&amp;GetURL(U6)&amp;")")</f>
        <v>#NAME?</v>
      </c>
      <c r="M6" s="1"/>
      <c r="N6" s="6"/>
      <c r="O6" s="7" t="s">
        <v>86</v>
      </c>
      <c r="P6" s="6" t="s">
        <v>87</v>
      </c>
      <c r="Q6" s="6" t="s">
        <v>63</v>
      </c>
      <c r="R6" s="6" t="s">
        <v>63</v>
      </c>
      <c r="S6" s="6" t="s">
        <v>63</v>
      </c>
      <c r="T6" s="9" t="s">
        <v>88</v>
      </c>
      <c r="U6" s="9" t="s">
        <v>89</v>
      </c>
      <c r="V6" s="1"/>
      <c r="W6" s="1"/>
      <c r="X6" s="1"/>
      <c r="Y6" s="1"/>
      <c r="Z6" s="1"/>
      <c r="AA6" s="1"/>
      <c r="AB6" s="1"/>
      <c r="AC6" s="1"/>
      <c r="AD6" s="1"/>
      <c r="AE6" s="1"/>
      <c r="AF6" s="1"/>
      <c r="AG6" s="1"/>
      <c r="AH6" s="1"/>
    </row>
    <row r="7" ht="14.25" customHeight="1">
      <c r="A7" s="5">
        <v>2016.0</v>
      </c>
      <c r="B7" s="5" t="s">
        <v>40</v>
      </c>
      <c r="C7" s="6" t="s">
        <v>90</v>
      </c>
      <c r="D7" s="1" t="b">
        <v>1</v>
      </c>
      <c r="E7" s="7" t="s">
        <v>91</v>
      </c>
      <c r="F7" s="8" t="s">
        <v>92</v>
      </c>
      <c r="G7" s="1"/>
      <c r="H7" s="1"/>
      <c r="I7" s="7" t="s">
        <v>93</v>
      </c>
      <c r="J7" s="7"/>
      <c r="K7" s="1"/>
      <c r="L7" s="1" t="str">
        <f t="array" ref="L7">IF(P7="–","","- ["&amp;P7&amp;"]("&amp;GetURL(P7)&amp;")")&amp;IF(Q7="–","","
- ["&amp;Q7&amp;"]("&amp;GetURL(Q7)&amp;")")&amp;IF(R7="–","","
- ["&amp;R7&amp;"]("&amp;GetURL(R7)&amp;")")&amp;IF(S7="–","","
- ["&amp;S7&amp;"]("&amp;GetURL(S7)&amp;")")&amp;IF(T7="–","","
- ["&amp;T7&amp;"]("&amp;GetURL(T7)&amp;")")&amp;IF(U7="–","","
- ["&amp;U7&amp;"]("&amp;GetURL(U7)&amp;")")</f>
        <v>#NAME?</v>
      </c>
      <c r="M7" s="1"/>
      <c r="N7" s="7" t="s">
        <v>94</v>
      </c>
      <c r="O7" s="7" t="s">
        <v>95</v>
      </c>
      <c r="P7" s="9" t="s">
        <v>96</v>
      </c>
      <c r="Q7" s="9" t="s">
        <v>97</v>
      </c>
      <c r="R7" s="6" t="s">
        <v>63</v>
      </c>
      <c r="S7" s="6" t="s">
        <v>63</v>
      </c>
      <c r="T7" s="9" t="s">
        <v>98</v>
      </c>
      <c r="U7" s="9" t="s">
        <v>99</v>
      </c>
      <c r="V7" s="1"/>
      <c r="W7" s="1"/>
      <c r="X7" s="1"/>
      <c r="Y7" s="1"/>
      <c r="Z7" s="1"/>
      <c r="AA7" s="1"/>
      <c r="AB7" s="1"/>
      <c r="AC7" s="1"/>
      <c r="AD7" s="1"/>
      <c r="AE7" s="1"/>
      <c r="AF7" s="1"/>
      <c r="AG7" s="1"/>
      <c r="AH7" s="1"/>
    </row>
    <row r="8" ht="14.25" customHeight="1">
      <c r="A8" s="5">
        <v>2016.0</v>
      </c>
      <c r="B8" s="5" t="s">
        <v>40</v>
      </c>
      <c r="C8" s="6" t="s">
        <v>100</v>
      </c>
      <c r="D8" s="1" t="b">
        <v>1</v>
      </c>
      <c r="E8" s="7" t="s">
        <v>101</v>
      </c>
      <c r="F8" s="2" t="s">
        <v>102</v>
      </c>
      <c r="G8" s="1"/>
      <c r="H8" s="1"/>
      <c r="I8" s="7" t="s">
        <v>103</v>
      </c>
      <c r="J8" s="7"/>
      <c r="K8" s="1"/>
      <c r="L8" s="1" t="str">
        <f t="array" ref="L8">IF(P8="–","","- ["&amp;P8&amp;"]("&amp;GetURL(P8)&amp;")")&amp;IF(Q8="–","","
- ["&amp;Q8&amp;"]("&amp;GetURL(Q8)&amp;")")&amp;IF(R8="–","","
- ["&amp;R8&amp;"]("&amp;GetURL(R8)&amp;")")&amp;IF(S8="–","","
- ["&amp;S8&amp;"]("&amp;GetURL(S8)&amp;")")&amp;IF(T8="–","","
- ["&amp;T8&amp;"]("&amp;GetURL(T8)&amp;")")&amp;IF(U8="–","","
- ["&amp;U8&amp;"]("&amp;GetURL(U8)&amp;")")</f>
        <v>#NAME?</v>
      </c>
      <c r="M8" s="1"/>
      <c r="N8" s="7" t="s">
        <v>104</v>
      </c>
      <c r="O8" s="7" t="s">
        <v>105</v>
      </c>
      <c r="P8" s="9" t="s">
        <v>106</v>
      </c>
      <c r="Q8" s="6" t="s">
        <v>63</v>
      </c>
      <c r="R8" s="6" t="s">
        <v>63</v>
      </c>
      <c r="S8" s="6" t="s">
        <v>63</v>
      </c>
      <c r="T8" s="9" t="s">
        <v>107</v>
      </c>
      <c r="U8" s="6" t="s">
        <v>63</v>
      </c>
      <c r="V8" s="1"/>
      <c r="W8" s="1"/>
      <c r="X8" s="1"/>
      <c r="Y8" s="1"/>
      <c r="Z8" s="1"/>
      <c r="AA8" s="1"/>
      <c r="AB8" s="1"/>
      <c r="AC8" s="1"/>
      <c r="AD8" s="1"/>
      <c r="AE8" s="1"/>
      <c r="AF8" s="1"/>
      <c r="AG8" s="1"/>
      <c r="AH8" s="1"/>
    </row>
    <row r="9" ht="14.25" customHeight="1">
      <c r="A9" s="5">
        <v>2016.0</v>
      </c>
      <c r="B9" s="5" t="s">
        <v>40</v>
      </c>
      <c r="C9" s="6" t="s">
        <v>108</v>
      </c>
      <c r="D9" s="1" t="b">
        <v>1</v>
      </c>
      <c r="E9" s="7" t="s">
        <v>109</v>
      </c>
      <c r="F9" s="8" t="s">
        <v>110</v>
      </c>
      <c r="G9" s="1"/>
      <c r="H9" s="1"/>
      <c r="I9" s="7" t="s">
        <v>111</v>
      </c>
      <c r="J9" s="6"/>
      <c r="K9" s="1"/>
      <c r="L9" s="1" t="str">
        <f t="array" ref="L9">IF(P9="–","","- ["&amp;P9&amp;"]("&amp;GetURL(P9)&amp;")")&amp;IF(Q9="–","","
- ["&amp;Q9&amp;"]("&amp;GetURL(Q9)&amp;")")&amp;IF(R9="–","","
- ["&amp;R9&amp;"]("&amp;GetURL(R9)&amp;")")&amp;IF(S9="–","","
- ["&amp;S9&amp;"]("&amp;GetURL(S9)&amp;")")&amp;IF(T9="–","","
- ["&amp;T9&amp;"]("&amp;GetURL(T9)&amp;")")&amp;IF(U9="–","","
- ["&amp;U9&amp;"]("&amp;GetURL(U9)&amp;")")</f>
        <v>#NAME?</v>
      </c>
      <c r="M9" s="1"/>
      <c r="N9" s="6"/>
      <c r="O9" s="6" t="s">
        <v>63</v>
      </c>
      <c r="P9" s="6" t="s">
        <v>112</v>
      </c>
      <c r="Q9" s="6" t="s">
        <v>63</v>
      </c>
      <c r="R9" s="6" t="s">
        <v>63</v>
      </c>
      <c r="S9" s="6" t="s">
        <v>63</v>
      </c>
      <c r="T9" s="9" t="s">
        <v>113</v>
      </c>
      <c r="U9" s="9" t="s">
        <v>114</v>
      </c>
      <c r="V9" s="1"/>
      <c r="W9" s="1"/>
      <c r="X9" s="1"/>
      <c r="Y9" s="1"/>
      <c r="Z9" s="1"/>
      <c r="AA9" s="1"/>
      <c r="AB9" s="1"/>
      <c r="AC9" s="1"/>
      <c r="AD9" s="1"/>
      <c r="AE9" s="1"/>
      <c r="AF9" s="1"/>
      <c r="AG9" s="1"/>
      <c r="AH9" s="1"/>
    </row>
    <row r="10" ht="14.25" customHeight="1">
      <c r="A10" s="5">
        <v>2016.0</v>
      </c>
      <c r="B10" s="5" t="s">
        <v>40</v>
      </c>
      <c r="C10" s="6" t="s">
        <v>115</v>
      </c>
      <c r="D10" s="1" t="b">
        <v>1</v>
      </c>
      <c r="E10" s="7" t="s">
        <v>116</v>
      </c>
      <c r="F10" s="8" t="s">
        <v>117</v>
      </c>
      <c r="G10" s="1"/>
      <c r="H10" s="1"/>
      <c r="I10" s="7" t="s">
        <v>118</v>
      </c>
      <c r="J10" s="7"/>
      <c r="K10" s="1"/>
      <c r="L10" s="1" t="str">
        <f t="array" ref="L10">IF(P10="–","","- ["&amp;P10&amp;"]("&amp;GetURL(P10)&amp;")")&amp;IF(Q10="–","","
- ["&amp;Q10&amp;"]("&amp;GetURL(Q10)&amp;")")&amp;IF(R10="–","","
- ["&amp;R10&amp;"]("&amp;GetURL(R10)&amp;")")&amp;IF(S10="–","","
- ["&amp;S10&amp;"]("&amp;GetURL(S10)&amp;")")&amp;IF(T10="–","","
- ["&amp;T10&amp;"]("&amp;GetURL(T10)&amp;")")&amp;IF(U10="–","","
- ["&amp;U10&amp;"]("&amp;GetURL(U10)&amp;")")</f>
        <v>#NAME?</v>
      </c>
      <c r="M10" s="1"/>
      <c r="N10" s="7" t="s">
        <v>119</v>
      </c>
      <c r="O10" s="7" t="s">
        <v>120</v>
      </c>
      <c r="P10" s="9" t="s">
        <v>121</v>
      </c>
      <c r="Q10" s="6" t="s">
        <v>63</v>
      </c>
      <c r="R10" s="6" t="s">
        <v>63</v>
      </c>
      <c r="S10" s="6" t="s">
        <v>63</v>
      </c>
      <c r="T10" s="6" t="s">
        <v>63</v>
      </c>
      <c r="U10" s="9" t="s">
        <v>122</v>
      </c>
      <c r="V10" s="1"/>
      <c r="W10" s="1"/>
      <c r="X10" s="1"/>
      <c r="Y10" s="1"/>
      <c r="Z10" s="1"/>
      <c r="AA10" s="1"/>
      <c r="AB10" s="1"/>
      <c r="AC10" s="1"/>
      <c r="AD10" s="1"/>
      <c r="AE10" s="1"/>
      <c r="AF10" s="1"/>
      <c r="AG10" s="1"/>
      <c r="AH10" s="1"/>
    </row>
    <row r="11" ht="14.25" customHeight="1">
      <c r="A11" s="12">
        <v>2016.0</v>
      </c>
      <c r="B11" s="12" t="s">
        <v>123</v>
      </c>
      <c r="C11" s="1" t="s">
        <v>124</v>
      </c>
      <c r="D11" s="1" t="b">
        <v>1</v>
      </c>
      <c r="E11" s="1"/>
      <c r="F11" s="8" t="s">
        <v>125</v>
      </c>
      <c r="G11" s="1"/>
      <c r="H11" s="1"/>
      <c r="I11" s="1" t="s">
        <v>126</v>
      </c>
      <c r="J11" s="1"/>
      <c r="K11" s="1"/>
      <c r="L11" s="1" t="str">
        <f t="shared" ref="L11:L45" si="1">IF(U11="–","","- [Slides]("&amp;U11&amp;")")&amp;IF(P11="–","","
- &lt;"&amp;P11&amp;"&gt;")&amp;IF(Q11="–","","
- &lt;"&amp;Q11&amp;"&gt;")&amp;IF(R11="–","","
- &lt;"&amp;R11&amp;"&gt;")&amp;IF(S11="–","","
- &lt;"&amp;S11&amp;"&gt;")</f>
        <v>- [Slides](https://drive.google.com/file/d/0B5n4IeHrVBinS1FyeEJkMHdaZ2c/view?resourcekey=0-YQ2WWx4xoOPwoTJXYIMr9Q)
- &lt;cadwr.databasin.org&gt;</v>
      </c>
      <c r="M11" s="1"/>
      <c r="N11" s="1" t="s">
        <v>127</v>
      </c>
      <c r="O11" s="1" t="s">
        <v>128</v>
      </c>
      <c r="P11" s="1" t="s">
        <v>129</v>
      </c>
      <c r="Q11" s="1" t="s">
        <v>63</v>
      </c>
      <c r="R11" s="1" t="s">
        <v>63</v>
      </c>
      <c r="S11" s="1" t="s">
        <v>63</v>
      </c>
      <c r="T11" s="1"/>
      <c r="U11" s="10" t="s">
        <v>130</v>
      </c>
      <c r="V11" s="1" t="s">
        <v>131</v>
      </c>
      <c r="W11" s="1"/>
      <c r="X11" s="1"/>
      <c r="Y11" s="1"/>
      <c r="Z11" s="1"/>
      <c r="AA11" s="1"/>
      <c r="AB11" s="1"/>
      <c r="AC11" s="1"/>
      <c r="AD11" s="1"/>
      <c r="AE11" s="1"/>
      <c r="AF11" s="1"/>
      <c r="AG11" s="1"/>
      <c r="AH11" s="1"/>
    </row>
    <row r="12" ht="14.25" customHeight="1">
      <c r="A12" s="12">
        <v>2016.0</v>
      </c>
      <c r="B12" s="12" t="s">
        <v>123</v>
      </c>
      <c r="C12" s="1" t="s">
        <v>132</v>
      </c>
      <c r="D12" s="1" t="b">
        <v>1</v>
      </c>
      <c r="E12" s="1"/>
      <c r="F12" s="13" t="s">
        <v>133</v>
      </c>
      <c r="G12" s="1"/>
      <c r="H12" s="1"/>
      <c r="I12" s="14" t="s">
        <v>134</v>
      </c>
      <c r="J12" s="1"/>
      <c r="K12" s="1"/>
      <c r="L12" s="1" t="str">
        <f t="shared" si="1"/>
        <v>- [Slides](https://drive.google.com/file/d/0B_SI-qUI02kYcXVzQ3BNN0Q4Mm8/view?usp=sharing)
- &lt;http://rainsphere.eng.uci.edu/&gt;
- &lt;https://www.youtube.com/watch?v=eI2-f88iGlY&gt;
- &lt;http://journals.ametsoc.org/doi/pdf/10.1175/BAMS-D-16-0036.1&gt;</v>
      </c>
      <c r="M12" s="1"/>
      <c r="N12" s="1" t="s">
        <v>135</v>
      </c>
      <c r="O12" s="1" t="s">
        <v>136</v>
      </c>
      <c r="P12" s="1" t="s">
        <v>137</v>
      </c>
      <c r="Q12" s="1" t="s">
        <v>138</v>
      </c>
      <c r="R12" s="1" t="s">
        <v>139</v>
      </c>
      <c r="S12" s="1" t="s">
        <v>63</v>
      </c>
      <c r="T12" s="1"/>
      <c r="U12" s="1" t="s">
        <v>140</v>
      </c>
      <c r="V12" s="1" t="s">
        <v>131</v>
      </c>
      <c r="W12" s="1"/>
      <c r="X12" s="1"/>
      <c r="Y12" s="1"/>
      <c r="Z12" s="1"/>
      <c r="AA12" s="1"/>
      <c r="AB12" s="1"/>
      <c r="AC12" s="1"/>
      <c r="AD12" s="1"/>
      <c r="AE12" s="1"/>
      <c r="AF12" s="1"/>
      <c r="AG12" s="1"/>
      <c r="AH12" s="1"/>
    </row>
    <row r="13" ht="14.25" customHeight="1">
      <c r="A13" s="12">
        <v>2016.0</v>
      </c>
      <c r="B13" s="12" t="s">
        <v>123</v>
      </c>
      <c r="C13" s="8" t="s">
        <v>141</v>
      </c>
      <c r="D13" s="1" t="b">
        <v>1</v>
      </c>
      <c r="E13" s="1"/>
      <c r="F13" s="8" t="s">
        <v>141</v>
      </c>
      <c r="G13" s="1"/>
      <c r="H13" s="1"/>
      <c r="I13" s="1" t="s">
        <v>142</v>
      </c>
      <c r="J13" s="1"/>
      <c r="K13" s="1"/>
      <c r="L13" s="1" t="str">
        <f t="shared" si="1"/>
        <v>- [Slides](https://drive.google.com/file/d/0B_SI-qUI02kYZ0YwZzJnMU1Bdk0/view?usp=sharing)
- &lt;https://itunes.apple.com/sa/app/irain-app/id982858283?mt=8&gt;
- &lt;http://irain.eng.uci.edu/&gt;
- &lt;http://en.unesco.org/news/irain-new-mobile-app-promote-citizen-science-and-support-water-management&gt;</v>
      </c>
      <c r="M13" s="1"/>
      <c r="N13" s="1" t="s">
        <v>135</v>
      </c>
      <c r="O13" s="1" t="s">
        <v>143</v>
      </c>
      <c r="P13" s="1" t="s">
        <v>144</v>
      </c>
      <c r="Q13" s="1" t="s">
        <v>145</v>
      </c>
      <c r="R13" s="1" t="s">
        <v>146</v>
      </c>
      <c r="S13" s="1" t="s">
        <v>63</v>
      </c>
      <c r="T13" s="1"/>
      <c r="U13" s="1" t="s">
        <v>147</v>
      </c>
      <c r="V13" s="1" t="s">
        <v>131</v>
      </c>
      <c r="W13" s="1"/>
      <c r="X13" s="1"/>
      <c r="Y13" s="1"/>
      <c r="Z13" s="1"/>
      <c r="AA13" s="1"/>
      <c r="AB13" s="1"/>
      <c r="AC13" s="1"/>
      <c r="AD13" s="1"/>
      <c r="AE13" s="1"/>
      <c r="AF13" s="1"/>
      <c r="AG13" s="1"/>
      <c r="AH13" s="1"/>
    </row>
    <row r="14" ht="14.25" customHeight="1">
      <c r="A14" s="12">
        <v>2016.0</v>
      </c>
      <c r="B14" s="12" t="s">
        <v>123</v>
      </c>
      <c r="C14" s="1" t="s">
        <v>148</v>
      </c>
      <c r="D14" s="1" t="b">
        <v>1</v>
      </c>
      <c r="E14" s="1"/>
      <c r="F14" s="8" t="s">
        <v>149</v>
      </c>
      <c r="G14" s="1"/>
      <c r="H14" s="1"/>
      <c r="I14" s="14" t="s">
        <v>150</v>
      </c>
      <c r="J14" s="1"/>
      <c r="K14" s="1"/>
      <c r="L14" s="1" t="str">
        <f t="shared" si="1"/>
        <v>- [Slides](https://drive.google.com/file/d/0B5n4IeHrVBinVlhwSkVWZ1l1Ukk/view?resourcekey=0-P4i2jPBw4GYnAwVu6dArCg)
- &lt;www.epiphiny.com&gt;
- &lt;www.realgw.com&gt;</v>
      </c>
      <c r="M14" s="1"/>
      <c r="N14" s="1" t="s">
        <v>151</v>
      </c>
      <c r="O14" s="1" t="s">
        <v>152</v>
      </c>
      <c r="P14" s="1" t="s">
        <v>153</v>
      </c>
      <c r="Q14" s="1" t="s">
        <v>154</v>
      </c>
      <c r="R14" s="1" t="s">
        <v>63</v>
      </c>
      <c r="S14" s="1" t="s">
        <v>63</v>
      </c>
      <c r="T14" s="1"/>
      <c r="U14" s="10" t="s">
        <v>155</v>
      </c>
      <c r="V14" s="1" t="s">
        <v>131</v>
      </c>
      <c r="W14" s="1"/>
      <c r="X14" s="1"/>
      <c r="Y14" s="1"/>
      <c r="Z14" s="1"/>
      <c r="AA14" s="1"/>
      <c r="AB14" s="1"/>
      <c r="AC14" s="1"/>
      <c r="AD14" s="1"/>
      <c r="AE14" s="1"/>
      <c r="AF14" s="1"/>
      <c r="AG14" s="1"/>
      <c r="AH14" s="1"/>
    </row>
    <row r="15" ht="14.25" customHeight="1">
      <c r="A15" s="12">
        <v>2016.0</v>
      </c>
      <c r="B15" s="12" t="s">
        <v>123</v>
      </c>
      <c r="C15" s="8" t="s">
        <v>156</v>
      </c>
      <c r="D15" s="1" t="b">
        <v>1</v>
      </c>
      <c r="E15" s="1" t="s">
        <v>157</v>
      </c>
      <c r="F15" s="2" t="s">
        <v>158</v>
      </c>
      <c r="G15" s="1"/>
      <c r="H15" s="1"/>
      <c r="I15" s="1" t="s">
        <v>159</v>
      </c>
      <c r="J15" s="1"/>
      <c r="K15" s="1"/>
      <c r="L15" s="1" t="str">
        <f t="shared" si="1"/>
        <v>- [Slides](https://drive.google.com/file/d/0B5n4IeHrVBinMGxtcVp0M1YtbDQ/view?resourcekey=0-fDKdS5WlG96ZJQZpvABRpA)
- &lt;https://bayesimpact.github.io/water/&gt;
- &lt;https://github.com/bayesimpact/water&gt;</v>
      </c>
      <c r="M15" s="1"/>
      <c r="N15" s="1" t="s">
        <v>160</v>
      </c>
      <c r="O15" s="1" t="s">
        <v>161</v>
      </c>
      <c r="P15" s="1" t="s">
        <v>162</v>
      </c>
      <c r="Q15" s="10" t="s">
        <v>163</v>
      </c>
      <c r="R15" s="1" t="s">
        <v>63</v>
      </c>
      <c r="S15" s="1" t="s">
        <v>63</v>
      </c>
      <c r="T15" s="1"/>
      <c r="U15" s="10" t="s">
        <v>164</v>
      </c>
      <c r="V15" s="1" t="s">
        <v>165</v>
      </c>
      <c r="W15" s="1"/>
      <c r="X15" s="1"/>
      <c r="Y15" s="1"/>
      <c r="Z15" s="1"/>
      <c r="AA15" s="1"/>
      <c r="AB15" s="1"/>
      <c r="AC15" s="1"/>
      <c r="AD15" s="1"/>
      <c r="AE15" s="1"/>
      <c r="AF15" s="1"/>
      <c r="AG15" s="1"/>
      <c r="AH15" s="1"/>
    </row>
    <row r="16" ht="14.25" customHeight="1">
      <c r="A16" s="12">
        <v>2016.0</v>
      </c>
      <c r="B16" s="12" t="s">
        <v>123</v>
      </c>
      <c r="C16" s="1" t="s">
        <v>166</v>
      </c>
      <c r="D16" s="1" t="b">
        <v>1</v>
      </c>
      <c r="E16" s="1"/>
      <c r="F16" s="2" t="s">
        <v>167</v>
      </c>
      <c r="G16" s="1"/>
      <c r="H16" s="1"/>
      <c r="I16" s="1" t="s">
        <v>168</v>
      </c>
      <c r="J16" s="1"/>
      <c r="K16" s="1"/>
      <c r="L16" s="1" t="str">
        <f t="shared" si="1"/>
        <v>- [Slides](https://drive.google.com/file/d/0B5n4IeHrVBinRllSY004WFd4X0U/view?resourcekey=0-SblfcotEzjAQPVxJcYg1jQ)
- &lt;http://gswell.abbaroo.com/&gt;</v>
      </c>
      <c r="M16" s="1"/>
      <c r="N16" s="1" t="s">
        <v>169</v>
      </c>
      <c r="O16" s="1" t="s">
        <v>170</v>
      </c>
      <c r="P16" s="1" t="s">
        <v>171</v>
      </c>
      <c r="Q16" s="1" t="s">
        <v>63</v>
      </c>
      <c r="R16" s="1" t="s">
        <v>63</v>
      </c>
      <c r="S16" s="1" t="s">
        <v>63</v>
      </c>
      <c r="T16" s="1"/>
      <c r="U16" s="10" t="s">
        <v>172</v>
      </c>
      <c r="V16" s="1" t="s">
        <v>131</v>
      </c>
      <c r="W16" s="1"/>
      <c r="X16" s="1"/>
      <c r="Y16" s="1"/>
      <c r="Z16" s="1"/>
      <c r="AA16" s="1"/>
      <c r="AB16" s="1"/>
      <c r="AC16" s="1"/>
      <c r="AD16" s="1"/>
      <c r="AE16" s="1"/>
      <c r="AF16" s="1"/>
      <c r="AG16" s="1"/>
      <c r="AH16" s="1"/>
    </row>
    <row r="17" ht="14.25" customHeight="1">
      <c r="A17" s="12">
        <v>2016.0</v>
      </c>
      <c r="B17" s="12" t="s">
        <v>123</v>
      </c>
      <c r="C17" s="1" t="s">
        <v>173</v>
      </c>
      <c r="D17" s="1" t="b">
        <v>1</v>
      </c>
      <c r="E17" s="1"/>
      <c r="F17" s="8" t="s">
        <v>174</v>
      </c>
      <c r="G17" s="1"/>
      <c r="H17" s="1" t="s">
        <v>175</v>
      </c>
      <c r="I17" s="1" t="s">
        <v>176</v>
      </c>
      <c r="J17" s="1"/>
      <c r="K17" s="1"/>
      <c r="L17" s="1" t="str">
        <f t="shared" si="1"/>
        <v>- [Slides](NA)
- &lt;http://public.tableau.com/views/GITTES-viz/Dashboard2?:showVizHome=no#1&gt;
- &lt;https://drive.google.com/open?id=0B5n4IeHrVBinN19LbklYa0NRaUU&gt;</v>
      </c>
      <c r="M17" s="1"/>
      <c r="N17" s="1" t="s">
        <v>177</v>
      </c>
      <c r="O17" s="1" t="s">
        <v>178</v>
      </c>
      <c r="P17" s="1" t="s">
        <v>179</v>
      </c>
      <c r="Q17" s="1" t="s">
        <v>180</v>
      </c>
      <c r="R17" s="1" t="s">
        <v>63</v>
      </c>
      <c r="S17" s="1" t="s">
        <v>63</v>
      </c>
      <c r="T17" s="1"/>
      <c r="U17" s="1" t="s">
        <v>181</v>
      </c>
      <c r="V17" s="1" t="s">
        <v>131</v>
      </c>
      <c r="W17" s="1"/>
      <c r="X17" s="1"/>
      <c r="Y17" s="1"/>
      <c r="Z17" s="1"/>
      <c r="AA17" s="1"/>
      <c r="AB17" s="1"/>
      <c r="AC17" s="1"/>
      <c r="AD17" s="1"/>
      <c r="AE17" s="1"/>
      <c r="AF17" s="1"/>
      <c r="AG17" s="1"/>
      <c r="AH17" s="1"/>
    </row>
    <row r="18" ht="14.25" customHeight="1">
      <c r="A18" s="12">
        <v>2016.0</v>
      </c>
      <c r="B18" s="12" t="s">
        <v>123</v>
      </c>
      <c r="C18" s="1" t="s">
        <v>182</v>
      </c>
      <c r="D18" s="1" t="b">
        <v>1</v>
      </c>
      <c r="E18" s="1"/>
      <c r="F18" s="14" t="s">
        <v>183</v>
      </c>
      <c r="G18" s="1"/>
      <c r="H18" s="1"/>
      <c r="I18" s="1" t="s">
        <v>184</v>
      </c>
      <c r="J18" s="1"/>
      <c r="K18" s="1"/>
      <c r="L18" s="1" t="str">
        <f t="shared" si="1"/>
        <v>- [Slides](https://drive.google.com/open?id=0B5n4IeHrVBinT0o4ZVNrWHk5Vkk)
- &lt;http://arcg.is/2h3CjYE&gt;
- &lt;https://drive.google.com/open?id=0B5n4IeHrVBinR2VSOGJLeVpPZ0U&gt;
- &lt;https://github.com/gpaulFormation/CalETa&gt;
- &lt;https://drive.google.com/open?id=0B5n4IeHrVBindGpGanJULUVPYjA&gt;</v>
      </c>
      <c r="M18" s="1"/>
      <c r="N18" s="1" t="s">
        <v>185</v>
      </c>
      <c r="O18" s="1" t="s">
        <v>186</v>
      </c>
      <c r="P18" s="1" t="s">
        <v>187</v>
      </c>
      <c r="Q18" s="1" t="s">
        <v>188</v>
      </c>
      <c r="R18" s="1" t="s">
        <v>189</v>
      </c>
      <c r="S18" s="1" t="s">
        <v>190</v>
      </c>
      <c r="T18" s="1"/>
      <c r="U18" s="1" t="s">
        <v>191</v>
      </c>
      <c r="V18" s="1" t="s">
        <v>131</v>
      </c>
      <c r="W18" s="1"/>
      <c r="X18" s="1"/>
      <c r="Y18" s="1"/>
      <c r="Z18" s="1"/>
      <c r="AA18" s="1"/>
      <c r="AB18" s="1"/>
      <c r="AC18" s="1"/>
      <c r="AD18" s="1"/>
      <c r="AE18" s="1"/>
      <c r="AF18" s="1"/>
      <c r="AG18" s="1"/>
      <c r="AH18" s="1"/>
    </row>
    <row r="19" ht="14.25" customHeight="1">
      <c r="A19" s="12">
        <v>2016.0</v>
      </c>
      <c r="B19" s="12" t="s">
        <v>123</v>
      </c>
      <c r="C19" s="1" t="s">
        <v>192</v>
      </c>
      <c r="D19" s="1" t="b">
        <v>1</v>
      </c>
      <c r="E19" s="1" t="s">
        <v>193</v>
      </c>
      <c r="F19" s="14" t="s">
        <v>194</v>
      </c>
      <c r="G19" s="1"/>
      <c r="H19" s="1"/>
      <c r="I19" s="1" t="s">
        <v>195</v>
      </c>
      <c r="J19" s="1"/>
      <c r="K19" s="1"/>
      <c r="L19" s="1" t="str">
        <f t="shared" si="1"/>
        <v>- [Slides](https://drive.google.com/open?id=0B5n4IeHrVBinT3NlRndpam85Y2c)
- &lt;http://waterinthewest.stanford.edu/publications/coping-california-drought-2014-2016&gt;
- &lt;https://github.com/patriciagm4/ca-data-challenge &gt;</v>
      </c>
      <c r="M19" s="1"/>
      <c r="N19" s="1" t="s">
        <v>196</v>
      </c>
      <c r="O19" s="1" t="s">
        <v>197</v>
      </c>
      <c r="P19" s="1" t="s">
        <v>198</v>
      </c>
      <c r="Q19" s="10" t="s">
        <v>199</v>
      </c>
      <c r="R19" s="1" t="s">
        <v>63</v>
      </c>
      <c r="S19" s="1" t="s">
        <v>63</v>
      </c>
      <c r="T19" s="1"/>
      <c r="U19" s="10" t="s">
        <v>200</v>
      </c>
      <c r="V19" s="1" t="s">
        <v>165</v>
      </c>
      <c r="W19" s="1"/>
      <c r="X19" s="1"/>
      <c r="Y19" s="1"/>
      <c r="Z19" s="1"/>
      <c r="AA19" s="1"/>
      <c r="AB19" s="1"/>
      <c r="AC19" s="1"/>
      <c r="AD19" s="1"/>
      <c r="AE19" s="1"/>
      <c r="AF19" s="1"/>
      <c r="AG19" s="1"/>
      <c r="AH19" s="1"/>
    </row>
    <row r="20" ht="14.25" customHeight="1">
      <c r="A20" s="12">
        <v>2016.0</v>
      </c>
      <c r="B20" s="12" t="s">
        <v>123</v>
      </c>
      <c r="C20" s="1" t="s">
        <v>201</v>
      </c>
      <c r="D20" s="1" t="b">
        <v>1</v>
      </c>
      <c r="E20" s="1"/>
      <c r="F20" s="14" t="s">
        <v>202</v>
      </c>
      <c r="G20" s="1"/>
      <c r="H20" s="1"/>
      <c r="I20" s="1" t="s">
        <v>203</v>
      </c>
      <c r="J20" s="1"/>
      <c r="K20" s="1"/>
      <c r="L20" s="1" t="str">
        <f t="shared" si="1"/>
        <v>- [Slides](https://drive.google.com/open?id=0B5n4IeHrVBincHlkbVVFUTJudTA)
- &lt;https://drive.google.com/open?id=0B5n4IeHrVBinLWVlMFNpV05IV0U&gt;
- &lt;https://drive.google.com/open?id=0B5n4IeHrVBinMjRiS1FLZUtLMmc&gt;</v>
      </c>
      <c r="M20" s="1"/>
      <c r="N20" s="1" t="s">
        <v>204</v>
      </c>
      <c r="O20" s="1" t="s">
        <v>205</v>
      </c>
      <c r="P20" s="1" t="s">
        <v>206</v>
      </c>
      <c r="Q20" s="1" t="s">
        <v>207</v>
      </c>
      <c r="R20" s="1" t="s">
        <v>63</v>
      </c>
      <c r="S20" s="1" t="s">
        <v>63</v>
      </c>
      <c r="T20" s="1"/>
      <c r="U20" s="1" t="s">
        <v>208</v>
      </c>
      <c r="V20" s="1" t="s">
        <v>131</v>
      </c>
      <c r="W20" s="1"/>
      <c r="X20" s="1"/>
      <c r="Y20" s="1"/>
      <c r="Z20" s="1"/>
      <c r="AA20" s="1"/>
      <c r="AB20" s="1"/>
      <c r="AC20" s="1"/>
      <c r="AD20" s="1"/>
      <c r="AE20" s="1"/>
      <c r="AF20" s="1"/>
      <c r="AG20" s="1"/>
      <c r="AH20" s="1"/>
    </row>
    <row r="21" ht="14.25" customHeight="1">
      <c r="A21" s="12">
        <v>2016.0</v>
      </c>
      <c r="B21" s="12" t="s">
        <v>123</v>
      </c>
      <c r="C21" s="1" t="s">
        <v>209</v>
      </c>
      <c r="D21" s="1" t="b">
        <v>1</v>
      </c>
      <c r="E21" s="1"/>
      <c r="F21" s="14" t="s">
        <v>210</v>
      </c>
      <c r="G21" s="1"/>
      <c r="H21" s="1" t="s">
        <v>44</v>
      </c>
      <c r="I21" s="1" t="s">
        <v>211</v>
      </c>
      <c r="J21" s="1"/>
      <c r="K21" s="1"/>
      <c r="L21" s="1" t="str">
        <f t="shared" si="1"/>
        <v>- [Slides](https://drive.google.com/file/d/0B5n4IeHrVBinY1JIOFlxUkNXajQ/view?resourcekey=0-qQlutJZZ07waa9rqy1hPHQ)
- &lt;https://flowwest.shinyapps.io/flowwest_floodplain_habitat_finder/&gt;</v>
      </c>
      <c r="M21" s="1"/>
      <c r="N21" s="1" t="s">
        <v>104</v>
      </c>
      <c r="O21" s="1" t="s">
        <v>212</v>
      </c>
      <c r="P21" s="10" t="s">
        <v>213</v>
      </c>
      <c r="Q21" s="1" t="s">
        <v>63</v>
      </c>
      <c r="R21" s="1" t="s">
        <v>63</v>
      </c>
      <c r="S21" s="1" t="s">
        <v>63</v>
      </c>
      <c r="T21" s="1"/>
      <c r="U21" s="10" t="s">
        <v>214</v>
      </c>
      <c r="V21" s="1" t="s">
        <v>165</v>
      </c>
      <c r="W21" s="1"/>
      <c r="X21" s="1"/>
      <c r="Y21" s="1"/>
      <c r="Z21" s="1"/>
      <c r="AA21" s="1"/>
      <c r="AB21" s="1"/>
      <c r="AC21" s="1"/>
      <c r="AD21" s="1"/>
      <c r="AE21" s="1"/>
      <c r="AF21" s="1"/>
      <c r="AG21" s="1"/>
      <c r="AH21" s="1"/>
    </row>
    <row r="22" ht="14.25" customHeight="1">
      <c r="A22" s="12">
        <v>2016.0</v>
      </c>
      <c r="B22" s="12" t="s">
        <v>123</v>
      </c>
      <c r="C22" s="1" t="s">
        <v>215</v>
      </c>
      <c r="D22" s="1" t="b">
        <v>1</v>
      </c>
      <c r="E22" s="1"/>
      <c r="F22" s="14" t="s">
        <v>216</v>
      </c>
      <c r="G22" s="1"/>
      <c r="H22" s="1"/>
      <c r="I22" s="1" t="s">
        <v>217</v>
      </c>
      <c r="J22" s="1"/>
      <c r="K22" s="1"/>
      <c r="L22" s="1" t="str">
        <f t="shared" si="1"/>
        <v>- [Slides](https://drive.google.com/open?id=0B5n4IeHrVBindXR5bGt4cXkwbkE)
- &lt;https://drive.google.com/open?id=0B5n4IeHrVBinYWR6SC16cEFHQkk&gt;</v>
      </c>
      <c r="M22" s="1"/>
      <c r="N22" s="1" t="s">
        <v>218</v>
      </c>
      <c r="O22" s="1" t="s">
        <v>219</v>
      </c>
      <c r="P22" s="1" t="s">
        <v>220</v>
      </c>
      <c r="Q22" s="1" t="s">
        <v>63</v>
      </c>
      <c r="R22" s="1" t="s">
        <v>63</v>
      </c>
      <c r="S22" s="1" t="s">
        <v>63</v>
      </c>
      <c r="T22" s="1"/>
      <c r="U22" s="1" t="s">
        <v>221</v>
      </c>
      <c r="V22" s="1" t="s">
        <v>131</v>
      </c>
      <c r="W22" s="1"/>
      <c r="X22" s="1"/>
      <c r="Y22" s="1"/>
      <c r="Z22" s="1"/>
      <c r="AA22" s="1"/>
      <c r="AB22" s="1"/>
      <c r="AC22" s="1"/>
      <c r="AD22" s="1"/>
      <c r="AE22" s="1"/>
      <c r="AF22" s="1"/>
      <c r="AG22" s="1"/>
      <c r="AH22" s="1"/>
    </row>
    <row r="23" ht="14.25" customHeight="1">
      <c r="A23" s="12">
        <v>2016.0</v>
      </c>
      <c r="B23" s="12" t="s">
        <v>123</v>
      </c>
      <c r="C23" s="1" t="s">
        <v>222</v>
      </c>
      <c r="D23" s="1" t="b">
        <v>1</v>
      </c>
      <c r="E23" s="1"/>
      <c r="F23" s="14" t="s">
        <v>223</v>
      </c>
      <c r="G23" s="1"/>
      <c r="H23" s="1" t="s">
        <v>175</v>
      </c>
      <c r="I23" s="1" t="s">
        <v>224</v>
      </c>
      <c r="J23" s="1"/>
      <c r="K23" s="1"/>
      <c r="L23" s="1" t="str">
        <f t="shared" si="1"/>
        <v>- [Slides](https://drive.google.com/file/d/0B5n4IeHrVBinWnN2eWVHM1g4aFE/view?resourcekey=0-HcUn236odEPuW98wyUUuyQ)
- &lt;http://data.pointblue.org/apps/autowater/&gt;
- &lt;https://github.com/dm00dy/autowater&gt;</v>
      </c>
      <c r="M23" s="1"/>
      <c r="N23" s="1" t="s">
        <v>225</v>
      </c>
      <c r="O23" s="1" t="s">
        <v>226</v>
      </c>
      <c r="P23" s="1" t="s">
        <v>227</v>
      </c>
      <c r="Q23" s="1" t="s">
        <v>228</v>
      </c>
      <c r="R23" s="1" t="s">
        <v>63</v>
      </c>
      <c r="S23" s="1" t="s">
        <v>63</v>
      </c>
      <c r="T23" s="1"/>
      <c r="U23" s="10" t="s">
        <v>229</v>
      </c>
      <c r="V23" s="1" t="s">
        <v>165</v>
      </c>
      <c r="W23" s="1"/>
      <c r="X23" s="1"/>
      <c r="Y23" s="1"/>
      <c r="Z23" s="1"/>
      <c r="AA23" s="1"/>
      <c r="AB23" s="1"/>
      <c r="AC23" s="1"/>
      <c r="AD23" s="1"/>
      <c r="AE23" s="1"/>
      <c r="AF23" s="1"/>
      <c r="AG23" s="1"/>
      <c r="AH23" s="1"/>
    </row>
    <row r="24" ht="14.25" customHeight="1">
      <c r="A24" s="12">
        <v>2016.0</v>
      </c>
      <c r="B24" s="12" t="s">
        <v>123</v>
      </c>
      <c r="C24" s="1" t="s">
        <v>230</v>
      </c>
      <c r="D24" s="1" t="b">
        <v>1</v>
      </c>
      <c r="E24" s="1"/>
      <c r="F24" s="14" t="s">
        <v>231</v>
      </c>
      <c r="G24" s="1"/>
      <c r="H24" s="1"/>
      <c r="I24" s="1" t="s">
        <v>232</v>
      </c>
      <c r="J24" s="1"/>
      <c r="K24" s="1"/>
      <c r="L24" s="1" t="str">
        <f t="shared" si="1"/>
        <v>- [Slides](https://drive.google.com/open?id=0B5n4IeHrVBinLTVnRkp1TmZ6TjA)
- &lt;www.WaterRiskMonetizer.com&gt;</v>
      </c>
      <c r="M24" s="1"/>
      <c r="N24" s="1" t="s">
        <v>233</v>
      </c>
      <c r="O24" s="1" t="s">
        <v>234</v>
      </c>
      <c r="P24" s="1" t="s">
        <v>235</v>
      </c>
      <c r="Q24" s="1" t="s">
        <v>63</v>
      </c>
      <c r="R24" s="1" t="s">
        <v>63</v>
      </c>
      <c r="S24" s="1" t="s">
        <v>63</v>
      </c>
      <c r="T24" s="1"/>
      <c r="U24" s="1" t="s">
        <v>236</v>
      </c>
      <c r="V24" s="1" t="s">
        <v>131</v>
      </c>
      <c r="W24" s="1"/>
      <c r="X24" s="1"/>
      <c r="Y24" s="1"/>
      <c r="Z24" s="1"/>
      <c r="AA24" s="1"/>
      <c r="AB24" s="1"/>
      <c r="AC24" s="1"/>
      <c r="AD24" s="1"/>
      <c r="AE24" s="1"/>
      <c r="AF24" s="1"/>
      <c r="AG24" s="1"/>
      <c r="AH24" s="1"/>
    </row>
    <row r="25" ht="14.25" customHeight="1">
      <c r="A25" s="12">
        <v>2016.0</v>
      </c>
      <c r="B25" s="12" t="s">
        <v>123</v>
      </c>
      <c r="C25" s="1" t="s">
        <v>237</v>
      </c>
      <c r="D25" s="1" t="b">
        <v>1</v>
      </c>
      <c r="E25" s="1"/>
      <c r="F25" s="14" t="s">
        <v>238</v>
      </c>
      <c r="G25" s="1"/>
      <c r="H25" s="1"/>
      <c r="I25" s="1" t="s">
        <v>239</v>
      </c>
      <c r="J25" s="1"/>
      <c r="K25" s="1"/>
      <c r="L25" s="1" t="str">
        <f t="shared" si="1"/>
        <v>- [Slides](https://drive.google.com/open?id=0B5n4IeHrVBinVEF4OWtrRFZaRHc)
- &lt;http://climate.calcommons.org/tbc3/sf-bay-watershed-analyst&gt;
- &lt;https://vimeo.com/190052456&gt;</v>
      </c>
      <c r="M25" s="1"/>
      <c r="N25" s="1" t="s">
        <v>240</v>
      </c>
      <c r="O25" s="1" t="s">
        <v>241</v>
      </c>
      <c r="P25" s="1" t="s">
        <v>242</v>
      </c>
      <c r="Q25" s="1" t="s">
        <v>243</v>
      </c>
      <c r="R25" s="1" t="s">
        <v>63</v>
      </c>
      <c r="S25" s="1" t="s">
        <v>63</v>
      </c>
      <c r="T25" s="1"/>
      <c r="U25" s="1" t="s">
        <v>244</v>
      </c>
      <c r="V25" s="1" t="s">
        <v>131</v>
      </c>
      <c r="W25" s="1"/>
      <c r="X25" s="1"/>
      <c r="Y25" s="1"/>
      <c r="Z25" s="1"/>
      <c r="AA25" s="1"/>
      <c r="AB25" s="1"/>
      <c r="AC25" s="1"/>
      <c r="AD25" s="1"/>
      <c r="AE25" s="1"/>
      <c r="AF25" s="1"/>
      <c r="AG25" s="1"/>
      <c r="AH25" s="1"/>
    </row>
    <row r="26" ht="14.25" customHeight="1">
      <c r="A26" s="12">
        <v>2016.0</v>
      </c>
      <c r="B26" s="12" t="s">
        <v>123</v>
      </c>
      <c r="C26" s="15" t="s">
        <v>245</v>
      </c>
      <c r="D26" s="1" t="b">
        <v>1</v>
      </c>
      <c r="E26" s="1"/>
      <c r="F26" s="16" t="s">
        <v>246</v>
      </c>
      <c r="G26" s="1"/>
      <c r="H26" s="1"/>
      <c r="I26" s="1" t="s">
        <v>247</v>
      </c>
      <c r="J26" s="1"/>
      <c r="K26" s="1"/>
      <c r="L26" s="1" t="str">
        <f t="shared" si="1"/>
        <v>- [Slides](https://drive.google.com/open?id=0B5n4IeHrVBinSzZWV1VQUl93NXM)
- &lt;map.waterauditca.org&gt;</v>
      </c>
      <c r="M26" s="1"/>
      <c r="N26" s="1" t="s">
        <v>248</v>
      </c>
      <c r="O26" s="1" t="s">
        <v>249</v>
      </c>
      <c r="P26" s="1" t="s">
        <v>250</v>
      </c>
      <c r="Q26" s="1" t="s">
        <v>63</v>
      </c>
      <c r="R26" s="1" t="s">
        <v>63</v>
      </c>
      <c r="S26" s="1" t="s">
        <v>63</v>
      </c>
      <c r="T26" s="1"/>
      <c r="U26" s="1" t="s">
        <v>251</v>
      </c>
      <c r="V26" s="1" t="s">
        <v>131</v>
      </c>
      <c r="W26" s="1"/>
      <c r="X26" s="1"/>
      <c r="Y26" s="1"/>
      <c r="Z26" s="1"/>
      <c r="AA26" s="1"/>
      <c r="AB26" s="1"/>
      <c r="AC26" s="1"/>
      <c r="AD26" s="1"/>
      <c r="AE26" s="1"/>
      <c r="AF26" s="1"/>
      <c r="AG26" s="1"/>
      <c r="AH26" s="1"/>
    </row>
    <row r="27" ht="14.25" customHeight="1">
      <c r="A27" s="12">
        <v>2016.0</v>
      </c>
      <c r="B27" s="12" t="s">
        <v>123</v>
      </c>
      <c r="C27" s="1" t="s">
        <v>252</v>
      </c>
      <c r="D27" s="1" t="b">
        <v>1</v>
      </c>
      <c r="E27" s="1"/>
      <c r="F27" s="14" t="s">
        <v>253</v>
      </c>
      <c r="G27" s="1"/>
      <c r="H27" s="1"/>
      <c r="I27" s="1" t="s">
        <v>254</v>
      </c>
      <c r="J27" s="1"/>
      <c r="K27" s="1"/>
      <c r="L27" s="1" t="str">
        <f t="shared" si="1"/>
        <v>- [Slides](https://drive.google.com/open?id=0B5n4IeHrVBinck9rcy1qM3hESHc)
- &lt;https://github.com/California-Data-Collaborative/efficiency-explorer&gt;</v>
      </c>
      <c r="M27" s="1"/>
      <c r="N27" s="1" t="s">
        <v>255</v>
      </c>
      <c r="O27" s="1" t="s">
        <v>256</v>
      </c>
      <c r="P27" s="1" t="s">
        <v>257</v>
      </c>
      <c r="Q27" s="1" t="s">
        <v>63</v>
      </c>
      <c r="R27" s="1" t="s">
        <v>63</v>
      </c>
      <c r="S27" s="1" t="s">
        <v>63</v>
      </c>
      <c r="T27" s="1"/>
      <c r="U27" s="1" t="s">
        <v>258</v>
      </c>
      <c r="V27" s="1" t="s">
        <v>165</v>
      </c>
      <c r="W27" s="1"/>
      <c r="X27" s="1"/>
      <c r="Y27" s="1"/>
      <c r="Z27" s="1"/>
      <c r="AA27" s="1"/>
      <c r="AB27" s="1"/>
      <c r="AC27" s="1"/>
      <c r="AD27" s="1"/>
      <c r="AE27" s="1"/>
      <c r="AF27" s="1"/>
      <c r="AG27" s="1"/>
      <c r="AH27" s="1"/>
    </row>
    <row r="28" ht="14.25" customHeight="1">
      <c r="A28" s="12">
        <v>2016.0</v>
      </c>
      <c r="B28" s="12" t="s">
        <v>123</v>
      </c>
      <c r="C28" s="1" t="s">
        <v>259</v>
      </c>
      <c r="D28" s="1" t="b">
        <v>1</v>
      </c>
      <c r="E28" s="1"/>
      <c r="F28" s="14" t="s">
        <v>260</v>
      </c>
      <c r="G28" s="1"/>
      <c r="H28" s="1"/>
      <c r="I28" s="1" t="s">
        <v>261</v>
      </c>
      <c r="J28" s="1"/>
      <c r="K28" s="1"/>
      <c r="L28" s="1" t="str">
        <f t="shared" si="1"/>
        <v>- [Slides](https://drive.google.com/open?id=0B5n4IeHrVBinakZPdlM2WlVaelk)
- &lt;https://drive.google.com/open?id=0B5n4IeHrVBinUDI2T1ZteEVtSUE&gt;</v>
      </c>
      <c r="M28" s="1"/>
      <c r="N28" s="1" t="s">
        <v>262</v>
      </c>
      <c r="O28" s="1" t="s">
        <v>263</v>
      </c>
      <c r="P28" s="1" t="s">
        <v>264</v>
      </c>
      <c r="Q28" s="1" t="s">
        <v>63</v>
      </c>
      <c r="R28" s="1" t="s">
        <v>63</v>
      </c>
      <c r="S28" s="1" t="s">
        <v>63</v>
      </c>
      <c r="T28" s="1"/>
      <c r="U28" s="1" t="s">
        <v>265</v>
      </c>
      <c r="V28" s="1" t="s">
        <v>131</v>
      </c>
      <c r="W28" s="1"/>
      <c r="X28" s="1"/>
      <c r="Y28" s="1"/>
      <c r="Z28" s="1"/>
      <c r="AA28" s="1"/>
      <c r="AB28" s="1"/>
      <c r="AC28" s="1"/>
      <c r="AD28" s="1"/>
      <c r="AE28" s="1"/>
      <c r="AF28" s="1"/>
      <c r="AG28" s="1"/>
      <c r="AH28" s="1"/>
    </row>
    <row r="29" ht="14.25" customHeight="1">
      <c r="A29" s="12">
        <v>2016.0</v>
      </c>
      <c r="B29" s="12" t="s">
        <v>123</v>
      </c>
      <c r="C29" s="1" t="s">
        <v>266</v>
      </c>
      <c r="D29" s="1" t="b">
        <v>1</v>
      </c>
      <c r="E29" s="1"/>
      <c r="F29" s="8" t="s">
        <v>267</v>
      </c>
      <c r="G29" s="1"/>
      <c r="H29" s="1"/>
      <c r="I29" s="1" t="s">
        <v>268</v>
      </c>
      <c r="J29" s="1"/>
      <c r="K29" s="1"/>
      <c r="L29" s="1" t="str">
        <f t="shared" si="1"/>
        <v>- [Slides](https://drive.google.com/open?id=0B5n4IeHrVBinWXFVdjctTW5DNTQ)
- &lt;srwp.opennrm.org
 username: guest@srwp.org
 password: srwp&gt;</v>
      </c>
      <c r="M29" s="1"/>
      <c r="N29" s="1" t="s">
        <v>269</v>
      </c>
      <c r="O29" s="1" t="s">
        <v>270</v>
      </c>
      <c r="P29" s="1" t="s">
        <v>271</v>
      </c>
      <c r="Q29" s="1" t="s">
        <v>63</v>
      </c>
      <c r="R29" s="1" t="s">
        <v>63</v>
      </c>
      <c r="S29" s="1" t="s">
        <v>63</v>
      </c>
      <c r="T29" s="1"/>
      <c r="U29" s="1" t="s">
        <v>272</v>
      </c>
      <c r="V29" s="1" t="s">
        <v>131</v>
      </c>
      <c r="W29" s="1"/>
      <c r="X29" s="1"/>
      <c r="Y29" s="1"/>
      <c r="Z29" s="1"/>
      <c r="AA29" s="1"/>
      <c r="AB29" s="1"/>
      <c r="AC29" s="1"/>
      <c r="AD29" s="1"/>
      <c r="AE29" s="1"/>
      <c r="AF29" s="1"/>
      <c r="AG29" s="1"/>
      <c r="AH29" s="1"/>
    </row>
    <row r="30" ht="14.25" customHeight="1">
      <c r="A30" s="12">
        <v>2016.0</v>
      </c>
      <c r="B30" s="12" t="s">
        <v>123</v>
      </c>
      <c r="C30" s="1" t="s">
        <v>273</v>
      </c>
      <c r="D30" s="1" t="b">
        <v>1</v>
      </c>
      <c r="E30" s="1"/>
      <c r="F30" s="14" t="s">
        <v>274</v>
      </c>
      <c r="G30" s="1"/>
      <c r="H30" s="1"/>
      <c r="I30" s="14" t="s">
        <v>275</v>
      </c>
      <c r="J30" s="1"/>
      <c r="K30" s="1"/>
      <c r="L30" s="1" t="str">
        <f t="shared" si="1"/>
        <v>- [Slides](https://drive.google.com/open?id=0B5n4IeHrVBinOWl2aGs1aWNBc1U)
- &lt;http://arcg.is/2g1XCK7&gt;</v>
      </c>
      <c r="M30" s="1"/>
      <c r="N30" s="1" t="s">
        <v>63</v>
      </c>
      <c r="O30" s="1" t="s">
        <v>276</v>
      </c>
      <c r="P30" s="1" t="s">
        <v>277</v>
      </c>
      <c r="Q30" s="1" t="s">
        <v>63</v>
      </c>
      <c r="R30" s="1" t="s">
        <v>63</v>
      </c>
      <c r="S30" s="1" t="s">
        <v>63</v>
      </c>
      <c r="T30" s="1"/>
      <c r="U30" s="1" t="s">
        <v>278</v>
      </c>
      <c r="V30" s="1" t="s">
        <v>131</v>
      </c>
      <c r="W30" s="1"/>
      <c r="X30" s="1"/>
      <c r="Y30" s="1"/>
      <c r="Z30" s="1"/>
      <c r="AA30" s="1"/>
      <c r="AB30" s="1"/>
      <c r="AC30" s="1"/>
      <c r="AD30" s="1"/>
      <c r="AE30" s="1"/>
      <c r="AF30" s="1"/>
      <c r="AG30" s="1"/>
      <c r="AH30" s="1"/>
    </row>
    <row r="31" ht="14.25" customHeight="1">
      <c r="A31" s="12">
        <v>2016.0</v>
      </c>
      <c r="B31" s="12" t="s">
        <v>123</v>
      </c>
      <c r="C31" s="1" t="s">
        <v>279</v>
      </c>
      <c r="D31" s="1" t="b">
        <v>1</v>
      </c>
      <c r="E31" s="1" t="s">
        <v>280</v>
      </c>
      <c r="F31" s="8" t="s">
        <v>281</v>
      </c>
      <c r="G31" s="1"/>
      <c r="H31" s="1" t="s">
        <v>175</v>
      </c>
      <c r="I31" s="14" t="s">
        <v>282</v>
      </c>
      <c r="J31" s="1"/>
      <c r="K31" s="1"/>
      <c r="L31" s="1" t="str">
        <f t="shared" si="1"/>
        <v>- [Slides](https://drive.google.com/file/d/0B5n4IeHrVBinWXBxa2lCSkZ1dlk/view?resourcekey=0-oKk-NdHuG7_7FsvExBIIgg)
- &lt;http://kyliepace.github.io/waterChallenge&gt;
- &lt;http://github.com/kyliepace/waterChallenge&gt;</v>
      </c>
      <c r="M31" s="1"/>
      <c r="N31" s="1" t="s">
        <v>63</v>
      </c>
      <c r="O31" s="1" t="s">
        <v>283</v>
      </c>
      <c r="P31" s="10" t="s">
        <v>284</v>
      </c>
      <c r="Q31" s="1" t="s">
        <v>285</v>
      </c>
      <c r="R31" s="1" t="s">
        <v>63</v>
      </c>
      <c r="S31" s="1" t="s">
        <v>63</v>
      </c>
      <c r="T31" s="1"/>
      <c r="U31" s="10" t="s">
        <v>286</v>
      </c>
      <c r="V31" s="1" t="s">
        <v>165</v>
      </c>
      <c r="W31" s="1"/>
      <c r="X31" s="1"/>
      <c r="Y31" s="1"/>
      <c r="Z31" s="1"/>
      <c r="AA31" s="1"/>
      <c r="AB31" s="1"/>
      <c r="AC31" s="1"/>
      <c r="AD31" s="1"/>
      <c r="AE31" s="1"/>
      <c r="AF31" s="1"/>
      <c r="AG31" s="1"/>
      <c r="AH31" s="1"/>
    </row>
    <row r="32" ht="14.25" customHeight="1">
      <c r="A32" s="12">
        <v>2016.0</v>
      </c>
      <c r="B32" s="12" t="s">
        <v>123</v>
      </c>
      <c r="C32" s="1" t="s">
        <v>287</v>
      </c>
      <c r="D32" s="1" t="b">
        <v>1</v>
      </c>
      <c r="E32" s="1"/>
      <c r="F32" s="14" t="s">
        <v>288</v>
      </c>
      <c r="G32" s="1"/>
      <c r="H32" s="1"/>
      <c r="I32" s="1" t="s">
        <v>289</v>
      </c>
      <c r="J32" s="1"/>
      <c r="K32" s="1"/>
      <c r="L32" s="1" t="str">
        <f t="shared" si="1"/>
        <v>- [Slides](https://drive.google.com/open?id=0B5n4IeHrVBinZmJjRHFZdTFrcmc)
- &lt;http://westvalleycollegegeospatial.weebly.com&gt;</v>
      </c>
      <c r="M32" s="1"/>
      <c r="N32" s="1" t="s">
        <v>290</v>
      </c>
      <c r="O32" s="1" t="s">
        <v>291</v>
      </c>
      <c r="P32" s="1" t="s">
        <v>292</v>
      </c>
      <c r="Q32" s="1" t="s">
        <v>63</v>
      </c>
      <c r="R32" s="1" t="s">
        <v>63</v>
      </c>
      <c r="S32" s="1" t="s">
        <v>63</v>
      </c>
      <c r="T32" s="1"/>
      <c r="U32" s="1" t="s">
        <v>293</v>
      </c>
      <c r="V32" s="1" t="s">
        <v>131</v>
      </c>
      <c r="W32" s="1"/>
      <c r="X32" s="1"/>
      <c r="Y32" s="1"/>
      <c r="Z32" s="1"/>
      <c r="AA32" s="1"/>
      <c r="AB32" s="1"/>
      <c r="AC32" s="1"/>
      <c r="AD32" s="1"/>
      <c r="AE32" s="1"/>
      <c r="AF32" s="1"/>
      <c r="AG32" s="1"/>
      <c r="AH32" s="1"/>
    </row>
    <row r="33" ht="14.25" customHeight="1">
      <c r="A33" s="12">
        <v>2016.0</v>
      </c>
      <c r="B33" s="12" t="s">
        <v>123</v>
      </c>
      <c r="C33" s="1" t="s">
        <v>294</v>
      </c>
      <c r="D33" s="1" t="b">
        <v>1</v>
      </c>
      <c r="E33" s="1"/>
      <c r="F33" s="14" t="s">
        <v>295</v>
      </c>
      <c r="G33" s="1"/>
      <c r="H33" s="1"/>
      <c r="I33" s="1" t="s">
        <v>296</v>
      </c>
      <c r="J33" s="1"/>
      <c r="K33" s="1"/>
      <c r="L33" s="1" t="str">
        <f t="shared" si="1"/>
        <v>- [Slides](https://drive.google.com/open?id=0B5n4IeHrVBinTU1vcnZZODNKSVk)
- &lt;http://project-athena.com/ca-water-data-challenge&gt;</v>
      </c>
      <c r="M33" s="1"/>
      <c r="N33" s="1" t="s">
        <v>297</v>
      </c>
      <c r="O33" s="1" t="s">
        <v>298</v>
      </c>
      <c r="P33" s="1" t="s">
        <v>299</v>
      </c>
      <c r="Q33" s="1" t="s">
        <v>63</v>
      </c>
      <c r="R33" s="1" t="s">
        <v>63</v>
      </c>
      <c r="S33" s="1" t="s">
        <v>63</v>
      </c>
      <c r="T33" s="1"/>
      <c r="U33" s="1" t="s">
        <v>300</v>
      </c>
      <c r="V33" s="1" t="s">
        <v>131</v>
      </c>
      <c r="W33" s="1"/>
      <c r="X33" s="1"/>
      <c r="Y33" s="1"/>
      <c r="Z33" s="1"/>
      <c r="AA33" s="1"/>
      <c r="AB33" s="1"/>
      <c r="AC33" s="1"/>
      <c r="AD33" s="1"/>
      <c r="AE33" s="1"/>
      <c r="AF33" s="1"/>
      <c r="AG33" s="1"/>
      <c r="AH33" s="1"/>
    </row>
    <row r="34" ht="14.25" customHeight="1">
      <c r="A34" s="12">
        <v>2016.0</v>
      </c>
      <c r="B34" s="12" t="s">
        <v>123</v>
      </c>
      <c r="C34" s="1" t="s">
        <v>301</v>
      </c>
      <c r="D34" s="1" t="b">
        <v>1</v>
      </c>
      <c r="E34" s="1"/>
      <c r="F34" s="1" t="s">
        <v>302</v>
      </c>
      <c r="G34" s="1"/>
      <c r="H34" s="1"/>
      <c r="I34" s="1" t="s">
        <v>303</v>
      </c>
      <c r="J34" s="1"/>
      <c r="K34" s="1"/>
      <c r="L34" s="1" t="str">
        <f t="shared" si="1"/>
        <v>- [Slides](https://drive.google.com/open?id=0B5n4IeHrVBinLXlRN3VjNGwwTVk)
- &lt;https://drive.google.com/open?id=0B5n4IeHrVBinUGN0bm1HLUhSa1E&gt;
- &lt;https://drive.google.com/open?id=0B5n4IeHrVBinbVhGOUh6VTNRM28&gt;</v>
      </c>
      <c r="M34" s="1"/>
      <c r="N34" s="1" t="s">
        <v>304</v>
      </c>
      <c r="O34" s="1" t="s">
        <v>63</v>
      </c>
      <c r="P34" s="1" t="s">
        <v>305</v>
      </c>
      <c r="Q34" s="1" t="s">
        <v>306</v>
      </c>
      <c r="R34" s="1" t="s">
        <v>63</v>
      </c>
      <c r="S34" s="1" t="s">
        <v>63</v>
      </c>
      <c r="T34" s="1"/>
      <c r="U34" s="1" t="s">
        <v>307</v>
      </c>
      <c r="V34" s="1" t="s">
        <v>131</v>
      </c>
      <c r="W34" s="1"/>
      <c r="X34" s="1"/>
      <c r="Y34" s="1"/>
      <c r="Z34" s="1"/>
      <c r="AA34" s="1"/>
      <c r="AB34" s="1"/>
      <c r="AC34" s="1"/>
      <c r="AD34" s="1"/>
      <c r="AE34" s="1"/>
      <c r="AF34" s="1"/>
      <c r="AG34" s="1"/>
      <c r="AH34" s="1"/>
    </row>
    <row r="35" ht="14.25" customHeight="1">
      <c r="A35" s="12">
        <v>2016.0</v>
      </c>
      <c r="B35" s="12" t="s">
        <v>123</v>
      </c>
      <c r="C35" s="1" t="s">
        <v>308</v>
      </c>
      <c r="D35" s="1" t="b">
        <v>1</v>
      </c>
      <c r="E35" s="1"/>
      <c r="F35" s="14" t="s">
        <v>309</v>
      </c>
      <c r="G35" s="1"/>
      <c r="H35" s="1"/>
      <c r="I35" s="1" t="s">
        <v>310</v>
      </c>
      <c r="J35" s="1"/>
      <c r="K35" s="1"/>
      <c r="L35" s="1" t="str">
        <f t="shared" si="1"/>
        <v>- [Slides](https://drive.google.com/open?id=0B5n4IeHrVBinbEl5NHFIVUhIM0E)</v>
      </c>
      <c r="M35" s="1"/>
      <c r="N35" s="1" t="s">
        <v>311</v>
      </c>
      <c r="O35" s="1"/>
      <c r="P35" s="1" t="s">
        <v>63</v>
      </c>
      <c r="Q35" s="1" t="s">
        <v>63</v>
      </c>
      <c r="R35" s="1" t="s">
        <v>63</v>
      </c>
      <c r="S35" s="1" t="s">
        <v>63</v>
      </c>
      <c r="T35" s="1"/>
      <c r="U35" s="1" t="s">
        <v>312</v>
      </c>
      <c r="V35" s="1" t="s">
        <v>131</v>
      </c>
      <c r="W35" s="1"/>
      <c r="X35" s="1"/>
      <c r="Y35" s="1"/>
      <c r="Z35" s="1"/>
      <c r="AA35" s="1"/>
      <c r="AB35" s="1"/>
      <c r="AC35" s="1"/>
      <c r="AD35" s="1"/>
      <c r="AE35" s="1"/>
      <c r="AF35" s="1"/>
      <c r="AG35" s="1"/>
      <c r="AH35" s="1"/>
    </row>
    <row r="36" ht="14.25" customHeight="1">
      <c r="A36" s="12">
        <v>2016.0</v>
      </c>
      <c r="B36" s="12" t="s">
        <v>123</v>
      </c>
      <c r="C36" s="1" t="s">
        <v>313</v>
      </c>
      <c r="D36" s="1" t="b">
        <v>1</v>
      </c>
      <c r="E36" s="1" t="s">
        <v>314</v>
      </c>
      <c r="F36" s="8" t="s">
        <v>315</v>
      </c>
      <c r="G36" s="1"/>
      <c r="H36" s="1"/>
      <c r="I36" s="14" t="s">
        <v>316</v>
      </c>
      <c r="J36" s="1"/>
      <c r="K36" s="1"/>
      <c r="L36" s="1" t="str">
        <f t="shared" si="1"/>
        <v>- [Slides](https://drive.google.com/file/d/0B5n4IeHrVBinODNsWnpxLUQwRms/view?resourcekey=0-JrFW-I6y4YRQgYT00-Kw8g)
- &lt;https://github.com/California-Data-Collaborative/RateComparison&gt;</v>
      </c>
      <c r="M36" s="1"/>
      <c r="N36" s="1" t="s">
        <v>317</v>
      </c>
      <c r="O36" s="1" t="s">
        <v>318</v>
      </c>
      <c r="P36" s="1" t="s">
        <v>319</v>
      </c>
      <c r="Q36" s="1" t="s">
        <v>63</v>
      </c>
      <c r="R36" s="1" t="s">
        <v>63</v>
      </c>
      <c r="S36" s="1" t="s">
        <v>63</v>
      </c>
      <c r="T36" s="1"/>
      <c r="U36" s="10" t="s">
        <v>320</v>
      </c>
      <c r="V36" s="1" t="s">
        <v>165</v>
      </c>
      <c r="W36" s="1"/>
      <c r="X36" s="1"/>
      <c r="Y36" s="1"/>
      <c r="Z36" s="1"/>
      <c r="AA36" s="1"/>
      <c r="AB36" s="1"/>
      <c r="AC36" s="1"/>
      <c r="AD36" s="1"/>
      <c r="AE36" s="1"/>
      <c r="AF36" s="1"/>
      <c r="AG36" s="1"/>
      <c r="AH36" s="1"/>
    </row>
    <row r="37" ht="14.25" customHeight="1">
      <c r="A37" s="12">
        <v>2016.0</v>
      </c>
      <c r="B37" s="12" t="s">
        <v>123</v>
      </c>
      <c r="C37" s="1" t="s">
        <v>321</v>
      </c>
      <c r="D37" s="1" t="b">
        <v>1</v>
      </c>
      <c r="E37" s="1"/>
      <c r="F37" s="14" t="s">
        <v>322</v>
      </c>
      <c r="G37" s="1"/>
      <c r="H37" s="1"/>
      <c r="I37" s="1" t="s">
        <v>323</v>
      </c>
      <c r="J37" s="1"/>
      <c r="K37" s="1"/>
      <c r="L37" s="1" t="str">
        <f t="shared" si="1"/>
        <v>- [Slides](https://drive.google.com/open?id=0B5n4IeHrVBindmhfNjZCTWpJMTA)
- &lt;https://public.tableau.com/profile/kklausmeyer#!/vizhome/CaliforniaDroughtDashboard/Dashboard&gt;
- &lt;https://github.com/kklausmeyer/Drought_Dashboard&gt;</v>
      </c>
      <c r="M37" s="1"/>
      <c r="N37" s="1" t="s">
        <v>324</v>
      </c>
      <c r="O37" s="1" t="s">
        <v>325</v>
      </c>
      <c r="P37" s="1" t="s">
        <v>326</v>
      </c>
      <c r="Q37" s="1" t="s">
        <v>327</v>
      </c>
      <c r="R37" s="1" t="s">
        <v>63</v>
      </c>
      <c r="S37" s="1" t="s">
        <v>63</v>
      </c>
      <c r="T37" s="1"/>
      <c r="U37" s="1" t="s">
        <v>328</v>
      </c>
      <c r="V37" s="1" t="s">
        <v>131</v>
      </c>
      <c r="W37" s="1"/>
      <c r="X37" s="1"/>
      <c r="Y37" s="1"/>
      <c r="Z37" s="1"/>
      <c r="AA37" s="1"/>
      <c r="AB37" s="1"/>
      <c r="AC37" s="1"/>
      <c r="AD37" s="1"/>
      <c r="AE37" s="1"/>
      <c r="AF37" s="1"/>
      <c r="AG37" s="1"/>
      <c r="AH37" s="1"/>
    </row>
    <row r="38" ht="14.25" customHeight="1">
      <c r="A38" s="12">
        <v>2016.0</v>
      </c>
      <c r="B38" s="12" t="s">
        <v>123</v>
      </c>
      <c r="C38" s="1" t="s">
        <v>329</v>
      </c>
      <c r="D38" s="1" t="b">
        <v>1</v>
      </c>
      <c r="E38" s="1"/>
      <c r="F38" s="14" t="s">
        <v>330</v>
      </c>
      <c r="G38" s="1"/>
      <c r="H38" s="1"/>
      <c r="I38" s="1" t="s">
        <v>331</v>
      </c>
      <c r="J38" s="1"/>
      <c r="K38" s="1"/>
      <c r="L38" s="1" t="str">
        <f t="shared" si="1"/>
        <v>- [Slides](https://docs.google.com/presentation/d/1rr8I70WkmyJS5148a6yldgmUuNrKXBt9X6dqTAUONPQ/edit?usp=sharing)
- &lt;https://drive.google.com/open?id=0B5n4IeHrVBinOERsb3ZZWnNCVEk&gt;</v>
      </c>
      <c r="M38" s="1"/>
      <c r="N38" s="1" t="s">
        <v>332</v>
      </c>
      <c r="O38" s="1" t="s">
        <v>333</v>
      </c>
      <c r="P38" s="1" t="s">
        <v>334</v>
      </c>
      <c r="Q38" s="1" t="s">
        <v>63</v>
      </c>
      <c r="R38" s="1" t="s">
        <v>63</v>
      </c>
      <c r="S38" s="1" t="s">
        <v>63</v>
      </c>
      <c r="T38" s="1"/>
      <c r="U38" s="1" t="s">
        <v>335</v>
      </c>
      <c r="V38" s="1" t="s">
        <v>131</v>
      </c>
      <c r="W38" s="1"/>
      <c r="X38" s="1"/>
      <c r="Y38" s="1"/>
      <c r="Z38" s="1"/>
      <c r="AA38" s="1"/>
      <c r="AB38" s="1"/>
      <c r="AC38" s="1"/>
      <c r="AD38" s="1"/>
      <c r="AE38" s="1"/>
      <c r="AF38" s="1"/>
      <c r="AG38" s="1"/>
      <c r="AH38" s="1"/>
    </row>
    <row r="39" ht="14.25" customHeight="1">
      <c r="A39" s="12">
        <v>2016.0</v>
      </c>
      <c r="B39" s="12" t="s">
        <v>123</v>
      </c>
      <c r="C39" s="1" t="s">
        <v>336</v>
      </c>
      <c r="D39" s="1" t="b">
        <v>1</v>
      </c>
      <c r="E39" s="1"/>
      <c r="F39" s="2" t="s">
        <v>337</v>
      </c>
      <c r="G39" s="1"/>
      <c r="H39" s="1"/>
      <c r="I39" s="1" t="s">
        <v>338</v>
      </c>
      <c r="J39" s="1"/>
      <c r="K39" s="1"/>
      <c r="L39" s="1" t="str">
        <f t="shared" si="1"/>
        <v>- [Slides](https://drive.google.com/open?id=0B5n4IeHrVBinSFVJV3Yyak5FRjQ)
- &lt;Please visit the TELR website (www.swtelr.com) for a demonstration. Username: 2N_demo. Password: demopassword&gt;
- &lt;Technical documentation: Stormwater TELR Technical Document&gt;</v>
      </c>
      <c r="M39" s="1"/>
      <c r="N39" s="1" t="s">
        <v>339</v>
      </c>
      <c r="O39" s="1" t="s">
        <v>340</v>
      </c>
      <c r="P39" s="1" t="s">
        <v>341</v>
      </c>
      <c r="Q39" s="1" t="s">
        <v>342</v>
      </c>
      <c r="R39" s="1" t="s">
        <v>63</v>
      </c>
      <c r="S39" s="1" t="s">
        <v>63</v>
      </c>
      <c r="T39" s="1"/>
      <c r="U39" s="1" t="s">
        <v>343</v>
      </c>
      <c r="V39" s="1" t="s">
        <v>131</v>
      </c>
      <c r="W39" s="1"/>
      <c r="X39" s="1"/>
      <c r="Y39" s="1"/>
      <c r="Z39" s="1"/>
      <c r="AA39" s="1"/>
      <c r="AB39" s="1"/>
      <c r="AC39" s="1"/>
      <c r="AD39" s="1"/>
      <c r="AE39" s="1"/>
      <c r="AF39" s="1"/>
      <c r="AG39" s="1"/>
      <c r="AH39" s="1"/>
    </row>
    <row r="40" ht="14.25" customHeight="1">
      <c r="A40" s="12">
        <v>2016.0</v>
      </c>
      <c r="B40" s="12" t="s">
        <v>123</v>
      </c>
      <c r="C40" s="1" t="s">
        <v>344</v>
      </c>
      <c r="D40" s="1" t="b">
        <v>1</v>
      </c>
      <c r="E40" s="1"/>
      <c r="F40" s="8" t="s">
        <v>345</v>
      </c>
      <c r="G40" s="1"/>
      <c r="H40" s="1"/>
      <c r="I40" s="1" t="s">
        <v>346</v>
      </c>
      <c r="J40" s="1"/>
      <c r="K40" s="1"/>
      <c r="L40" s="1" t="str">
        <f t="shared" si="1"/>
        <v>- [Slides](https://drive.google.com/open?id=0B5n4IeHrVBinZ2NPX0JWQ0IxX2s)
- &lt;Link for the demo: https://accenture-smartwateranalytics.ca-challenge.com Note: This website is not publically accessible, hence please send request to following email address to get access Sachin.dalal@accenture.com &amp; sonu.kumar.singh@accenture.com&gt;</v>
      </c>
      <c r="M40" s="1"/>
      <c r="N40" s="1" t="s">
        <v>347</v>
      </c>
      <c r="O40" s="1" t="s">
        <v>348</v>
      </c>
      <c r="P40" s="1" t="s">
        <v>349</v>
      </c>
      <c r="Q40" s="1" t="s">
        <v>63</v>
      </c>
      <c r="R40" s="1" t="s">
        <v>63</v>
      </c>
      <c r="S40" s="1" t="s">
        <v>63</v>
      </c>
      <c r="T40" s="1"/>
      <c r="U40" s="1" t="s">
        <v>350</v>
      </c>
      <c r="V40" s="1" t="s">
        <v>131</v>
      </c>
      <c r="W40" s="1"/>
      <c r="X40" s="1"/>
      <c r="Y40" s="1"/>
      <c r="Z40" s="1"/>
      <c r="AA40" s="1"/>
      <c r="AB40" s="1"/>
      <c r="AC40" s="1"/>
      <c r="AD40" s="1"/>
      <c r="AE40" s="1"/>
      <c r="AF40" s="1"/>
      <c r="AG40" s="1"/>
      <c r="AH40" s="1"/>
    </row>
    <row r="41" ht="14.25" customHeight="1">
      <c r="A41" s="12">
        <v>2016.0</v>
      </c>
      <c r="B41" s="12" t="s">
        <v>123</v>
      </c>
      <c r="C41" s="1" t="s">
        <v>351</v>
      </c>
      <c r="D41" s="1" t="b">
        <v>1</v>
      </c>
      <c r="E41" s="1"/>
      <c r="F41" s="8" t="s">
        <v>352</v>
      </c>
      <c r="G41" s="1"/>
      <c r="H41" s="1"/>
      <c r="I41" s="1" t="s">
        <v>353</v>
      </c>
      <c r="J41" s="1"/>
      <c r="K41" s="1"/>
      <c r="L41" s="1" t="str">
        <f t="shared" si="1"/>
        <v>- [Slides](https://drive.google.com/open?id=0B5n4IeHrVBinQVVXWFUtSlZteDA)
- &lt;emp.opennrm.org (paste address in browser)
username:  guest@34north.com 
password:    baydeltalive
Note that this project is scheduled to go live January 10, 2017.  You are getting a preview of the project using this URL.  The permanent URL will reside at the http://mywaterquality.ca.gov/index.html&gt;</v>
      </c>
      <c r="M41" s="1"/>
      <c r="N41" s="1" t="s">
        <v>354</v>
      </c>
      <c r="O41" s="1" t="s">
        <v>355</v>
      </c>
      <c r="P41" s="1" t="s">
        <v>356</v>
      </c>
      <c r="Q41" s="1" t="s">
        <v>63</v>
      </c>
      <c r="R41" s="1" t="s">
        <v>63</v>
      </c>
      <c r="S41" s="1" t="s">
        <v>63</v>
      </c>
      <c r="T41" s="1"/>
      <c r="U41" s="1" t="s">
        <v>357</v>
      </c>
      <c r="V41" s="1" t="s">
        <v>131</v>
      </c>
      <c r="W41" s="1"/>
      <c r="X41" s="1"/>
      <c r="Y41" s="1"/>
      <c r="Z41" s="1"/>
      <c r="AA41" s="1"/>
      <c r="AB41" s="1"/>
      <c r="AC41" s="1"/>
      <c r="AD41" s="1"/>
      <c r="AE41" s="1"/>
      <c r="AF41" s="1"/>
      <c r="AG41" s="1"/>
      <c r="AH41" s="1"/>
    </row>
    <row r="42" ht="14.25" customHeight="1">
      <c r="A42" s="12">
        <v>2016.0</v>
      </c>
      <c r="B42" s="12" t="s">
        <v>123</v>
      </c>
      <c r="C42" s="1" t="s">
        <v>358</v>
      </c>
      <c r="D42" s="1" t="b">
        <v>1</v>
      </c>
      <c r="E42" s="1"/>
      <c r="F42" s="14" t="s">
        <v>359</v>
      </c>
      <c r="G42" s="1"/>
      <c r="H42" s="1"/>
      <c r="I42" s="1" t="s">
        <v>360</v>
      </c>
      <c r="J42" s="1"/>
      <c r="K42" s="1"/>
      <c r="L42" s="1" t="str">
        <f t="shared" si="1"/>
        <v>- [Slides](https://drive.google.com/open?id=0B5n4IeHrVBinblM4c2NtS25HaWs)
- &lt;https://drive.google.com/open?id=0B5n4IeHrVBinbmZpYmRjWFIzUVU&gt;</v>
      </c>
      <c r="M42" s="1"/>
      <c r="N42" s="1" t="s">
        <v>361</v>
      </c>
      <c r="O42" s="1" t="s">
        <v>362</v>
      </c>
      <c r="P42" s="1" t="s">
        <v>363</v>
      </c>
      <c r="Q42" s="1" t="s">
        <v>63</v>
      </c>
      <c r="R42" s="1" t="s">
        <v>63</v>
      </c>
      <c r="S42" s="1" t="s">
        <v>63</v>
      </c>
      <c r="T42" s="1"/>
      <c r="U42" s="1" t="s">
        <v>364</v>
      </c>
      <c r="V42" s="1" t="s">
        <v>131</v>
      </c>
      <c r="W42" s="1"/>
      <c r="X42" s="1"/>
      <c r="Y42" s="1"/>
      <c r="Z42" s="1"/>
      <c r="AA42" s="1"/>
      <c r="AB42" s="1"/>
      <c r="AC42" s="1"/>
      <c r="AD42" s="1"/>
      <c r="AE42" s="1"/>
      <c r="AF42" s="1"/>
      <c r="AG42" s="1"/>
      <c r="AH42" s="1"/>
    </row>
    <row r="43" ht="14.25" customHeight="1">
      <c r="A43" s="12">
        <v>2016.0</v>
      </c>
      <c r="B43" s="12" t="s">
        <v>123</v>
      </c>
      <c r="C43" s="1" t="s">
        <v>365</v>
      </c>
      <c r="D43" s="1" t="b">
        <v>1</v>
      </c>
      <c r="E43" s="1"/>
      <c r="F43" s="14" t="s">
        <v>366</v>
      </c>
      <c r="G43" s="1"/>
      <c r="H43" s="1"/>
      <c r="I43" s="1" t="s">
        <v>353</v>
      </c>
      <c r="J43" s="1"/>
      <c r="K43" s="1"/>
      <c r="L43" s="1" t="str">
        <f t="shared" si="1"/>
        <v>- [Slides](https://drive.google.com/open?id=0B5n4IeHrVBinRHZwaGwtMVBQT0k)
- &lt;www.baydeltalive.com/salinity&gt;</v>
      </c>
      <c r="M43" s="1"/>
      <c r="N43" s="1" t="s">
        <v>354</v>
      </c>
      <c r="O43" s="1" t="s">
        <v>367</v>
      </c>
      <c r="P43" s="1" t="s">
        <v>368</v>
      </c>
      <c r="Q43" s="1" t="s">
        <v>63</v>
      </c>
      <c r="R43" s="1" t="s">
        <v>63</v>
      </c>
      <c r="S43" s="1" t="s">
        <v>63</v>
      </c>
      <c r="T43" s="1"/>
      <c r="U43" s="1" t="s">
        <v>369</v>
      </c>
      <c r="V43" s="1" t="s">
        <v>131</v>
      </c>
      <c r="W43" s="1"/>
      <c r="X43" s="1"/>
      <c r="Y43" s="1"/>
      <c r="Z43" s="1"/>
      <c r="AA43" s="1"/>
      <c r="AB43" s="1"/>
      <c r="AC43" s="1"/>
      <c r="AD43" s="1"/>
      <c r="AE43" s="1"/>
      <c r="AF43" s="1"/>
      <c r="AG43" s="1"/>
      <c r="AH43" s="1"/>
    </row>
    <row r="44" ht="14.25" customHeight="1">
      <c r="A44" s="12">
        <v>2016.0</v>
      </c>
      <c r="B44" s="12" t="s">
        <v>123</v>
      </c>
      <c r="C44" s="14" t="s">
        <v>370</v>
      </c>
      <c r="D44" s="1" t="b">
        <v>1</v>
      </c>
      <c r="E44" s="1"/>
      <c r="F44" s="8" t="s">
        <v>371</v>
      </c>
      <c r="G44" s="1"/>
      <c r="H44" s="1"/>
      <c r="I44" s="1" t="s">
        <v>372</v>
      </c>
      <c r="J44" s="1"/>
      <c r="K44" s="1"/>
      <c r="L44" s="1" t="str">
        <f t="shared" si="1"/>
        <v>- [Slides](https://drive.google.com/open?id=0B5n4IeHrVBineUxWR25HTWNTZzQ)
- &lt;www.baydeltalive.com/djfmp ** Please navigation the data dashboards using the sub navigation: Triggers and Indices, RBDD, DJFMP Highlights, DJFMP Details, Water Quality, Salvage, NOAA Forecasts, Visualizations&gt;</v>
      </c>
      <c r="M44" s="1"/>
      <c r="N44" s="1" t="s">
        <v>354</v>
      </c>
      <c r="O44" s="1" t="s">
        <v>373</v>
      </c>
      <c r="P44" s="1" t="s">
        <v>374</v>
      </c>
      <c r="Q44" s="1" t="s">
        <v>63</v>
      </c>
      <c r="R44" s="1" t="s">
        <v>63</v>
      </c>
      <c r="S44" s="1" t="s">
        <v>63</v>
      </c>
      <c r="T44" s="1"/>
      <c r="U44" s="10" t="s">
        <v>375</v>
      </c>
      <c r="V44" s="1" t="s">
        <v>131</v>
      </c>
      <c r="W44" s="10"/>
      <c r="X44" s="10"/>
      <c r="Y44" s="1"/>
      <c r="Z44" s="1"/>
      <c r="AA44" s="1"/>
      <c r="AB44" s="1"/>
      <c r="AC44" s="1"/>
      <c r="AD44" s="1"/>
      <c r="AE44" s="1"/>
      <c r="AF44" s="1"/>
      <c r="AG44" s="1"/>
      <c r="AH44" s="1"/>
    </row>
    <row r="45" ht="14.25" customHeight="1">
      <c r="A45" s="12">
        <v>2016.0</v>
      </c>
      <c r="B45" s="12" t="s">
        <v>123</v>
      </c>
      <c r="C45" s="1" t="s">
        <v>376</v>
      </c>
      <c r="D45" s="1" t="b">
        <v>1</v>
      </c>
      <c r="E45" s="1" t="s">
        <v>377</v>
      </c>
      <c r="F45" s="8" t="s">
        <v>378</v>
      </c>
      <c r="G45" s="1"/>
      <c r="H45" s="1" t="s">
        <v>175</v>
      </c>
      <c r="I45" s="1" t="s">
        <v>379</v>
      </c>
      <c r="J45" s="1"/>
      <c r="K45" s="1"/>
      <c r="L45" s="1" t="str">
        <f t="shared" si="1"/>
        <v>- [Slides](https://drive.google.com/file/d/0B5n4IeHrVBinaWRleWZ1QVJRZ0k/view?resourcekey=0-eZCjxx_PJjVAxJ_nnHIdXA)
- &lt;http://storageaf.wixsite.com/shastadam&gt;</v>
      </c>
      <c r="M45" s="1"/>
      <c r="N45" s="1" t="s">
        <v>63</v>
      </c>
      <c r="O45" s="1" t="s">
        <v>63</v>
      </c>
      <c r="P45" s="10" t="s">
        <v>380</v>
      </c>
      <c r="Q45" s="1" t="s">
        <v>63</v>
      </c>
      <c r="R45" s="1" t="s">
        <v>63</v>
      </c>
      <c r="S45" s="1" t="s">
        <v>63</v>
      </c>
      <c r="T45" s="1"/>
      <c r="U45" s="10" t="s">
        <v>381</v>
      </c>
      <c r="V45" s="1" t="s">
        <v>165</v>
      </c>
      <c r="W45" s="1"/>
      <c r="X45" s="1"/>
      <c r="Y45" s="1"/>
      <c r="Z45" s="1"/>
      <c r="AA45" s="1"/>
      <c r="AB45" s="1"/>
      <c r="AC45" s="1"/>
      <c r="AD45" s="1"/>
      <c r="AE45" s="1"/>
      <c r="AF45" s="1"/>
      <c r="AG45" s="1"/>
      <c r="AH45" s="1"/>
    </row>
    <row r="46" ht="14.25" customHeight="1">
      <c r="A46" s="17">
        <v>2018.0</v>
      </c>
      <c r="B46" s="17" t="s">
        <v>382</v>
      </c>
      <c r="C46" s="1" t="s">
        <v>383</v>
      </c>
      <c r="D46" s="1" t="b">
        <v>1</v>
      </c>
      <c r="E46" s="1" t="s">
        <v>384</v>
      </c>
      <c r="F46" s="14" t="s">
        <v>385</v>
      </c>
      <c r="G46" s="1" t="s">
        <v>386</v>
      </c>
      <c r="H46" s="1" t="s">
        <v>387</v>
      </c>
      <c r="I46" s="14" t="s">
        <v>388</v>
      </c>
      <c r="J46" s="1" t="s">
        <v>389</v>
      </c>
      <c r="K46" s="1" t="s">
        <v>390</v>
      </c>
      <c r="L46" s="1" t="str">
        <f t="shared" ref="L46:L68" si="2">IF(ISBLANK(M46),"","- [Project Repository]("&amp;M46&amp;")")</f>
        <v>- [Project Repository](https://github.com/waterdatacollaborative/FunctionWaterDataScience_Central-Valley-Well-Vulnerability)</v>
      </c>
      <c r="M46" s="1" t="s">
        <v>391</v>
      </c>
      <c r="N46" s="1"/>
      <c r="O46" s="1"/>
      <c r="P46" s="1"/>
      <c r="Q46" s="1"/>
      <c r="R46" s="1"/>
      <c r="S46" s="1"/>
      <c r="T46" s="1"/>
      <c r="U46" s="1"/>
      <c r="V46" s="1"/>
      <c r="W46" s="1"/>
      <c r="X46" s="1"/>
      <c r="Y46" s="1"/>
      <c r="Z46" s="1"/>
      <c r="AA46" s="1"/>
      <c r="AB46" s="1"/>
      <c r="AC46" s="1"/>
      <c r="AD46" s="1"/>
      <c r="AE46" s="1"/>
      <c r="AF46" s="1"/>
      <c r="AG46" s="1"/>
      <c r="AH46" s="1"/>
    </row>
    <row r="47" ht="14.25" customHeight="1">
      <c r="A47" s="17">
        <v>2018.0</v>
      </c>
      <c r="B47" s="17" t="s">
        <v>382</v>
      </c>
      <c r="C47" s="1" t="s">
        <v>392</v>
      </c>
      <c r="D47" s="1" t="b">
        <v>1</v>
      </c>
      <c r="E47" s="1" t="s">
        <v>393</v>
      </c>
      <c r="F47" s="14" t="s">
        <v>394</v>
      </c>
      <c r="G47" s="1" t="s">
        <v>395</v>
      </c>
      <c r="H47" s="1" t="s">
        <v>396</v>
      </c>
      <c r="I47" s="14" t="s">
        <v>397</v>
      </c>
      <c r="J47" s="1" t="s">
        <v>398</v>
      </c>
      <c r="K47" s="1" t="s">
        <v>393</v>
      </c>
      <c r="L47" s="1" t="str">
        <f t="shared" si="2"/>
        <v>- [Project Repository](https://github.com/waterdatacollaborative/Dam-Safety-2018)</v>
      </c>
      <c r="M47" s="1" t="s">
        <v>399</v>
      </c>
      <c r="N47" s="1"/>
      <c r="O47" s="1"/>
      <c r="P47" s="1"/>
      <c r="Q47" s="1"/>
      <c r="R47" s="1"/>
      <c r="S47" s="1"/>
      <c r="T47" s="1"/>
      <c r="U47" s="1"/>
      <c r="V47" s="1"/>
      <c r="W47" s="1"/>
      <c r="X47" s="1"/>
      <c r="Y47" s="1"/>
      <c r="Z47" s="1"/>
      <c r="AA47" s="1"/>
      <c r="AB47" s="1"/>
      <c r="AC47" s="1"/>
      <c r="AD47" s="1"/>
      <c r="AE47" s="1"/>
      <c r="AF47" s="1"/>
      <c r="AG47" s="1"/>
      <c r="AH47" s="1"/>
    </row>
    <row r="48" ht="14.25" customHeight="1">
      <c r="A48" s="17">
        <v>2018.0</v>
      </c>
      <c r="B48" s="17" t="s">
        <v>382</v>
      </c>
      <c r="C48" s="1" t="s">
        <v>400</v>
      </c>
      <c r="D48" s="1" t="b">
        <v>1</v>
      </c>
      <c r="E48" s="1" t="s">
        <v>401</v>
      </c>
      <c r="F48" s="1" t="s">
        <v>402</v>
      </c>
      <c r="G48" s="1" t="s">
        <v>403</v>
      </c>
      <c r="H48" s="1"/>
      <c r="I48" s="1"/>
      <c r="J48" s="1"/>
      <c r="K48" s="1" t="s">
        <v>404</v>
      </c>
      <c r="L48" s="1" t="str">
        <f t="shared" si="2"/>
        <v>- [Project Repository](https://github.com/waterdatacollaborative/NicoleLook_Drinking-Water-Contaminant-Classification)</v>
      </c>
      <c r="M48" s="1" t="s">
        <v>405</v>
      </c>
      <c r="N48" s="1"/>
      <c r="O48" s="1"/>
      <c r="P48" s="1"/>
      <c r="Q48" s="1"/>
      <c r="R48" s="1"/>
      <c r="S48" s="1"/>
      <c r="T48" s="1"/>
      <c r="U48" s="1"/>
      <c r="V48" s="1"/>
      <c r="W48" s="1"/>
      <c r="X48" s="1"/>
      <c r="Y48" s="1"/>
      <c r="Z48" s="1"/>
      <c r="AA48" s="1"/>
      <c r="AB48" s="1"/>
      <c r="AC48" s="1"/>
      <c r="AD48" s="1"/>
      <c r="AE48" s="1"/>
      <c r="AF48" s="1"/>
      <c r="AG48" s="1"/>
      <c r="AH48" s="1"/>
    </row>
    <row r="49" ht="14.25" customHeight="1">
      <c r="A49" s="17">
        <v>2018.0</v>
      </c>
      <c r="B49" s="17" t="s">
        <v>382</v>
      </c>
      <c r="C49" s="1" t="s">
        <v>406</v>
      </c>
      <c r="D49" s="1" t="b">
        <v>1</v>
      </c>
      <c r="E49" s="1" t="s">
        <v>407</v>
      </c>
      <c r="F49" s="14" t="s">
        <v>408</v>
      </c>
      <c r="G49" s="1" t="s">
        <v>409</v>
      </c>
      <c r="H49" s="1" t="s">
        <v>410</v>
      </c>
      <c r="I49" s="14" t="s">
        <v>411</v>
      </c>
      <c r="J49" s="1" t="s">
        <v>412</v>
      </c>
      <c r="K49" s="1" t="s">
        <v>407</v>
      </c>
      <c r="L49" s="1" t="str">
        <f t="shared" si="2"/>
        <v>- [Project Repository](https://github.com/waterdatacollaborative/Get-the-Lead-Out)</v>
      </c>
      <c r="M49" s="1" t="s">
        <v>413</v>
      </c>
      <c r="N49" s="1"/>
      <c r="O49" s="1"/>
      <c r="P49" s="1"/>
      <c r="Q49" s="1"/>
      <c r="R49" s="1"/>
      <c r="S49" s="1"/>
      <c r="T49" s="1"/>
      <c r="U49" s="1"/>
      <c r="V49" s="1"/>
      <c r="W49" s="1"/>
      <c r="X49" s="1"/>
      <c r="Y49" s="1"/>
      <c r="Z49" s="1"/>
      <c r="AA49" s="1"/>
      <c r="AB49" s="1"/>
      <c r="AC49" s="1"/>
      <c r="AD49" s="1"/>
      <c r="AE49" s="1"/>
      <c r="AF49" s="1"/>
      <c r="AG49" s="1"/>
      <c r="AH49" s="1"/>
    </row>
    <row r="50" ht="14.25" customHeight="1">
      <c r="A50" s="17">
        <v>2018.0</v>
      </c>
      <c r="B50" s="17" t="s">
        <v>382</v>
      </c>
      <c r="C50" s="1" t="s">
        <v>414</v>
      </c>
      <c r="D50" s="1" t="b">
        <v>1</v>
      </c>
      <c r="E50" s="1" t="s">
        <v>415</v>
      </c>
      <c r="F50" s="8" t="s">
        <v>416</v>
      </c>
      <c r="G50" s="1" t="s">
        <v>417</v>
      </c>
      <c r="H50" s="1" t="s">
        <v>418</v>
      </c>
      <c r="I50" s="1" t="s">
        <v>419</v>
      </c>
      <c r="J50" s="1" t="s">
        <v>420</v>
      </c>
      <c r="K50" s="1" t="s">
        <v>415</v>
      </c>
      <c r="L50" s="1" t="str">
        <f t="shared" si="2"/>
        <v/>
      </c>
      <c r="M50" s="1"/>
      <c r="N50" s="1"/>
      <c r="O50" s="1"/>
      <c r="P50" s="1"/>
      <c r="Q50" s="1"/>
      <c r="R50" s="1"/>
      <c r="S50" s="1"/>
      <c r="T50" s="1"/>
      <c r="U50" s="1"/>
      <c r="V50" s="1"/>
      <c r="W50" s="1"/>
      <c r="X50" s="1"/>
      <c r="Y50" s="1"/>
      <c r="Z50" s="1"/>
      <c r="AA50" s="1"/>
      <c r="AB50" s="1"/>
      <c r="AC50" s="1"/>
      <c r="AD50" s="1"/>
      <c r="AE50" s="1"/>
      <c r="AF50" s="1"/>
      <c r="AG50" s="1"/>
      <c r="AH50" s="1"/>
    </row>
    <row r="51" ht="14.25" customHeight="1">
      <c r="A51" s="17">
        <v>2018.0</v>
      </c>
      <c r="B51" s="17" t="s">
        <v>382</v>
      </c>
      <c r="C51" s="1" t="s">
        <v>421</v>
      </c>
      <c r="D51" s="1" t="b">
        <v>1</v>
      </c>
      <c r="E51" s="1" t="s">
        <v>422</v>
      </c>
      <c r="F51" s="1" t="s">
        <v>423</v>
      </c>
      <c r="G51" s="1" t="s">
        <v>409</v>
      </c>
      <c r="H51" s="1"/>
      <c r="I51" s="1"/>
      <c r="J51" s="1"/>
      <c r="K51" s="1" t="s">
        <v>424</v>
      </c>
      <c r="L51" s="1" t="str">
        <f t="shared" si="2"/>
        <v>- [Project Repository](https://github.com/waterdatacollaborative/HowsMyWater-DataAnalysis)</v>
      </c>
      <c r="M51" s="1" t="s">
        <v>425</v>
      </c>
      <c r="N51" s="1"/>
      <c r="O51" s="1"/>
      <c r="P51" s="1"/>
      <c r="Q51" s="1"/>
      <c r="R51" s="1"/>
      <c r="S51" s="1"/>
      <c r="T51" s="1"/>
      <c r="U51" s="1"/>
      <c r="V51" s="1"/>
      <c r="W51" s="1"/>
      <c r="X51" s="1"/>
      <c r="Y51" s="1"/>
      <c r="Z51" s="1"/>
      <c r="AA51" s="1"/>
      <c r="AB51" s="1"/>
      <c r="AC51" s="1"/>
      <c r="AD51" s="1"/>
      <c r="AE51" s="1"/>
      <c r="AF51" s="1"/>
      <c r="AG51" s="1"/>
      <c r="AH51" s="1"/>
    </row>
    <row r="52" ht="14.25" customHeight="1">
      <c r="A52" s="17">
        <v>2018.0</v>
      </c>
      <c r="B52" s="17" t="s">
        <v>382</v>
      </c>
      <c r="C52" s="1" t="s">
        <v>426</v>
      </c>
      <c r="D52" s="1" t="b">
        <v>1</v>
      </c>
      <c r="E52" s="1" t="s">
        <v>427</v>
      </c>
      <c r="F52" s="14" t="s">
        <v>428</v>
      </c>
      <c r="G52" s="1" t="s">
        <v>429</v>
      </c>
      <c r="H52" s="1" t="s">
        <v>430</v>
      </c>
      <c r="I52" s="14" t="s">
        <v>431</v>
      </c>
      <c r="J52" s="1" t="s">
        <v>432</v>
      </c>
      <c r="K52" s="1" t="s">
        <v>433</v>
      </c>
      <c r="L52" s="1" t="str">
        <f t="shared" si="2"/>
        <v>- [Project Repository](https://github.com/waterdatacollaborative/Open-Water-Rate-Specification-2018)</v>
      </c>
      <c r="M52" s="1" t="s">
        <v>434</v>
      </c>
      <c r="N52" s="1"/>
      <c r="O52" s="1"/>
      <c r="P52" s="1"/>
      <c r="Q52" s="1"/>
      <c r="R52" s="1"/>
      <c r="S52" s="1"/>
      <c r="T52" s="1"/>
      <c r="U52" s="1"/>
      <c r="V52" s="1"/>
      <c r="W52" s="1"/>
      <c r="X52" s="1"/>
      <c r="Y52" s="1"/>
      <c r="Z52" s="1"/>
      <c r="AA52" s="1"/>
      <c r="AB52" s="1"/>
      <c r="AC52" s="1"/>
      <c r="AD52" s="1"/>
      <c r="AE52" s="1"/>
      <c r="AF52" s="1"/>
      <c r="AG52" s="1"/>
      <c r="AH52" s="1"/>
    </row>
    <row r="53" ht="14.25" customHeight="1">
      <c r="A53" s="17">
        <v>2018.0</v>
      </c>
      <c r="B53" s="17" t="s">
        <v>382</v>
      </c>
      <c r="C53" s="1" t="s">
        <v>435</v>
      </c>
      <c r="D53" s="1" t="b">
        <v>1</v>
      </c>
      <c r="E53" s="1" t="s">
        <v>436</v>
      </c>
      <c r="F53" s="14" t="s">
        <v>437</v>
      </c>
      <c r="G53" s="1" t="s">
        <v>438</v>
      </c>
      <c r="H53" s="1" t="s">
        <v>439</v>
      </c>
      <c r="I53" s="14" t="s">
        <v>440</v>
      </c>
      <c r="J53" s="1" t="s">
        <v>441</v>
      </c>
      <c r="K53" s="1" t="s">
        <v>436</v>
      </c>
      <c r="L53" s="1" t="str">
        <f t="shared" si="2"/>
        <v>- [Project Repository](https://github.com/waterdatacollaborative/JPLCivicHackers_Prediction-Visualization-Reported-Units)</v>
      </c>
      <c r="M53" s="1" t="s">
        <v>442</v>
      </c>
      <c r="N53" s="1"/>
      <c r="O53" s="1"/>
      <c r="P53" s="1"/>
      <c r="Q53" s="1"/>
      <c r="R53" s="1"/>
      <c r="S53" s="1"/>
      <c r="T53" s="1"/>
      <c r="U53" s="1"/>
      <c r="V53" s="1"/>
      <c r="W53" s="1"/>
      <c r="X53" s="1"/>
      <c r="Y53" s="1"/>
      <c r="Z53" s="1"/>
      <c r="AA53" s="1"/>
      <c r="AB53" s="1"/>
      <c r="AC53" s="1"/>
      <c r="AD53" s="1"/>
      <c r="AE53" s="1"/>
      <c r="AF53" s="1"/>
      <c r="AG53" s="1"/>
      <c r="AH53" s="1"/>
    </row>
    <row r="54" ht="14.25" customHeight="1">
      <c r="A54" s="17">
        <v>2018.0</v>
      </c>
      <c r="B54" s="17" t="s">
        <v>382</v>
      </c>
      <c r="C54" s="1" t="s">
        <v>443</v>
      </c>
      <c r="D54" s="1" t="b">
        <v>1</v>
      </c>
      <c r="E54" s="1" t="s">
        <v>444</v>
      </c>
      <c r="F54" s="1" t="s">
        <v>445</v>
      </c>
      <c r="G54" s="1" t="s">
        <v>438</v>
      </c>
      <c r="H54" s="1"/>
      <c r="I54" s="1" t="s">
        <v>446</v>
      </c>
      <c r="J54" s="1"/>
      <c r="K54" s="1" t="s">
        <v>447</v>
      </c>
      <c r="L54" s="1" t="str">
        <f t="shared" si="2"/>
        <v>- [Project Repository](https://github.com/waterdatacollaborative/Water-Usage-and-Production)</v>
      </c>
      <c r="M54" s="1" t="s">
        <v>448</v>
      </c>
      <c r="N54" s="1"/>
      <c r="O54" s="1"/>
      <c r="P54" s="1"/>
      <c r="Q54" s="1"/>
      <c r="R54" s="1"/>
      <c r="S54" s="1"/>
      <c r="T54" s="1"/>
      <c r="U54" s="1"/>
      <c r="V54" s="1"/>
      <c r="W54" s="1"/>
      <c r="X54" s="1"/>
      <c r="Y54" s="1"/>
      <c r="Z54" s="1"/>
      <c r="AA54" s="1"/>
      <c r="AB54" s="1"/>
      <c r="AC54" s="1"/>
      <c r="AD54" s="1"/>
      <c r="AE54" s="1"/>
      <c r="AF54" s="1"/>
      <c r="AG54" s="1"/>
      <c r="AH54" s="1"/>
    </row>
    <row r="55" ht="14.25" customHeight="1">
      <c r="A55" s="17">
        <v>2018.0</v>
      </c>
      <c r="B55" s="17" t="s">
        <v>382</v>
      </c>
      <c r="C55" s="1" t="s">
        <v>449</v>
      </c>
      <c r="D55" s="1" t="b">
        <v>1</v>
      </c>
      <c r="E55" s="1" t="s">
        <v>450</v>
      </c>
      <c r="F55" s="14" t="s">
        <v>451</v>
      </c>
      <c r="G55" s="1" t="s">
        <v>409</v>
      </c>
      <c r="H55" s="1" t="s">
        <v>452</v>
      </c>
      <c r="I55" s="14" t="s">
        <v>453</v>
      </c>
      <c r="J55" s="1" t="s">
        <v>454</v>
      </c>
      <c r="K55" s="1" t="s">
        <v>450</v>
      </c>
      <c r="L55" s="1" t="str">
        <f t="shared" si="2"/>
        <v>- [Project Repository](https://github.com/waterdatacollaborative/OpenOakland_Exceedence-Levels-Vis)</v>
      </c>
      <c r="M55" s="1" t="s">
        <v>455</v>
      </c>
      <c r="N55" s="1"/>
      <c r="O55" s="1"/>
      <c r="P55" s="1"/>
      <c r="Q55" s="1"/>
      <c r="R55" s="1"/>
      <c r="S55" s="1"/>
      <c r="T55" s="1"/>
      <c r="U55" s="1"/>
      <c r="V55" s="1"/>
      <c r="W55" s="1"/>
      <c r="X55" s="1"/>
      <c r="Y55" s="1"/>
      <c r="Z55" s="1"/>
      <c r="AA55" s="1"/>
      <c r="AB55" s="1"/>
      <c r="AC55" s="1"/>
      <c r="AD55" s="1"/>
      <c r="AE55" s="1"/>
      <c r="AF55" s="1"/>
      <c r="AG55" s="1"/>
      <c r="AH55" s="1"/>
    </row>
    <row r="56" ht="14.25" customHeight="1">
      <c r="A56" s="17">
        <v>2018.0</v>
      </c>
      <c r="B56" s="17" t="s">
        <v>382</v>
      </c>
      <c r="C56" s="1" t="s">
        <v>456</v>
      </c>
      <c r="D56" s="1" t="b">
        <v>1</v>
      </c>
      <c r="E56" s="1" t="s">
        <v>457</v>
      </c>
      <c r="F56" s="14" t="s">
        <v>458</v>
      </c>
      <c r="G56" s="1" t="s">
        <v>417</v>
      </c>
      <c r="H56" s="1"/>
      <c r="I56" s="14" t="s">
        <v>459</v>
      </c>
      <c r="J56" s="1"/>
      <c r="K56" s="1" t="s">
        <v>460</v>
      </c>
      <c r="L56" s="1" t="str">
        <f t="shared" si="2"/>
        <v>- [Project Repository](https://github.com/waterdatacollaborative/Water-Towards-True-Affordability)</v>
      </c>
      <c r="M56" s="1" t="s">
        <v>461</v>
      </c>
      <c r="N56" s="1"/>
      <c r="O56" s="1"/>
      <c r="P56" s="1"/>
      <c r="Q56" s="1"/>
      <c r="R56" s="1"/>
      <c r="S56" s="1"/>
      <c r="T56" s="1"/>
      <c r="U56" s="1"/>
      <c r="V56" s="1"/>
      <c r="W56" s="1"/>
      <c r="X56" s="1"/>
      <c r="Y56" s="1"/>
      <c r="Z56" s="1"/>
      <c r="AA56" s="1"/>
      <c r="AB56" s="1"/>
      <c r="AC56" s="1"/>
      <c r="AD56" s="1"/>
      <c r="AE56" s="1"/>
      <c r="AF56" s="1"/>
      <c r="AG56" s="1"/>
      <c r="AH56" s="1"/>
    </row>
    <row r="57" ht="14.25" customHeight="1">
      <c r="A57" s="17">
        <v>2019.0</v>
      </c>
      <c r="B57" s="17" t="s">
        <v>462</v>
      </c>
      <c r="C57" s="1" t="s">
        <v>463</v>
      </c>
      <c r="D57" s="1" t="b">
        <v>1</v>
      </c>
      <c r="E57" s="1" t="s">
        <v>464</v>
      </c>
      <c r="F57" s="1" t="s">
        <v>465</v>
      </c>
      <c r="G57" s="1" t="s">
        <v>466</v>
      </c>
      <c r="H57" s="1" t="s">
        <v>418</v>
      </c>
      <c r="I57" s="1" t="s">
        <v>467</v>
      </c>
      <c r="J57" s="1" t="s">
        <v>468</v>
      </c>
      <c r="K57" s="1" t="s">
        <v>464</v>
      </c>
      <c r="L57" s="1" t="str">
        <f t="shared" si="2"/>
        <v>- [Project Repository](https://github.com/jyao8112/CA-Water-Contest.git)</v>
      </c>
      <c r="M57" s="1" t="s">
        <v>469</v>
      </c>
      <c r="N57" s="1"/>
      <c r="O57" s="1"/>
      <c r="P57" s="1"/>
      <c r="Q57" s="1"/>
      <c r="R57" s="1"/>
      <c r="S57" s="1"/>
      <c r="T57" s="1"/>
      <c r="U57" s="1"/>
      <c r="V57" s="1"/>
      <c r="W57" s="1"/>
      <c r="X57" s="1"/>
      <c r="Y57" s="1"/>
      <c r="Z57" s="1"/>
      <c r="AA57" s="1"/>
      <c r="AB57" s="1"/>
      <c r="AC57" s="1"/>
      <c r="AD57" s="1"/>
      <c r="AE57" s="1"/>
      <c r="AF57" s="1"/>
      <c r="AG57" s="1"/>
      <c r="AH57" s="1"/>
    </row>
    <row r="58" ht="14.25" customHeight="1">
      <c r="A58" s="17">
        <v>2019.0</v>
      </c>
      <c r="B58" s="17" t="s">
        <v>462</v>
      </c>
      <c r="C58" s="1" t="s">
        <v>470</v>
      </c>
      <c r="D58" s="1" t="b">
        <v>1</v>
      </c>
      <c r="E58" s="1" t="s">
        <v>471</v>
      </c>
      <c r="F58" s="1" t="s">
        <v>472</v>
      </c>
      <c r="G58" s="1" t="s">
        <v>473</v>
      </c>
      <c r="H58" s="1"/>
      <c r="I58" s="1" t="s">
        <v>474</v>
      </c>
      <c r="J58" s="1" t="s">
        <v>475</v>
      </c>
      <c r="K58" s="1" t="s">
        <v>471</v>
      </c>
      <c r="L58" s="1" t="str">
        <f t="shared" si="2"/>
        <v/>
      </c>
      <c r="M58" s="1"/>
      <c r="N58" s="1"/>
      <c r="O58" s="1"/>
      <c r="P58" s="1"/>
      <c r="Q58" s="1"/>
      <c r="R58" s="1"/>
      <c r="S58" s="1"/>
      <c r="T58" s="1"/>
      <c r="U58" s="1"/>
      <c r="V58" s="1"/>
      <c r="W58" s="1"/>
      <c r="X58" s="1"/>
      <c r="Y58" s="1"/>
      <c r="Z58" s="1"/>
      <c r="AA58" s="1"/>
      <c r="AB58" s="1"/>
      <c r="AC58" s="1"/>
      <c r="AD58" s="1"/>
      <c r="AE58" s="1"/>
      <c r="AF58" s="1"/>
      <c r="AG58" s="1"/>
      <c r="AH58" s="1"/>
    </row>
    <row r="59" ht="14.25" customHeight="1">
      <c r="A59" s="17">
        <v>2019.0</v>
      </c>
      <c r="B59" s="17" t="s">
        <v>462</v>
      </c>
      <c r="C59" s="1" t="s">
        <v>476</v>
      </c>
      <c r="D59" s="1" t="b">
        <v>1</v>
      </c>
      <c r="E59" s="1" t="s">
        <v>477</v>
      </c>
      <c r="F59" s="14" t="s">
        <v>478</v>
      </c>
      <c r="G59" s="1" t="s">
        <v>479</v>
      </c>
      <c r="H59" s="1"/>
      <c r="I59" s="14" t="s">
        <v>431</v>
      </c>
      <c r="J59" s="1" t="s">
        <v>476</v>
      </c>
      <c r="K59" s="1" t="s">
        <v>477</v>
      </c>
      <c r="L59" s="1" t="str">
        <f t="shared" si="2"/>
        <v/>
      </c>
      <c r="M59" s="1"/>
      <c r="N59" s="1"/>
      <c r="O59" s="1"/>
      <c r="P59" s="1"/>
      <c r="Q59" s="1"/>
      <c r="R59" s="1"/>
      <c r="S59" s="1"/>
      <c r="T59" s="1"/>
      <c r="U59" s="1"/>
      <c r="V59" s="1"/>
      <c r="W59" s="1"/>
      <c r="X59" s="1"/>
      <c r="Y59" s="1"/>
      <c r="Z59" s="1"/>
      <c r="AA59" s="1"/>
      <c r="AB59" s="1"/>
      <c r="AC59" s="1"/>
      <c r="AD59" s="1"/>
      <c r="AE59" s="1"/>
      <c r="AF59" s="1"/>
      <c r="AG59" s="1"/>
      <c r="AH59" s="1"/>
    </row>
    <row r="60" ht="14.25" customHeight="1">
      <c r="A60" s="17">
        <v>2019.0</v>
      </c>
      <c r="B60" s="17" t="s">
        <v>462</v>
      </c>
      <c r="C60" s="1" t="s">
        <v>480</v>
      </c>
      <c r="D60" s="1" t="b">
        <v>1</v>
      </c>
      <c r="E60" s="1" t="s">
        <v>481</v>
      </c>
      <c r="F60" s="14" t="s">
        <v>482</v>
      </c>
      <c r="G60" s="1" t="s">
        <v>409</v>
      </c>
      <c r="H60" s="1" t="s">
        <v>483</v>
      </c>
      <c r="I60" s="14" t="s">
        <v>431</v>
      </c>
      <c r="J60" s="1" t="s">
        <v>484</v>
      </c>
      <c r="K60" s="1" t="s">
        <v>481</v>
      </c>
      <c r="L60" s="1" t="str">
        <f t="shared" si="2"/>
        <v>- [Project Repository](https://github.com/openoakland/clean-water)</v>
      </c>
      <c r="M60" s="1" t="s">
        <v>485</v>
      </c>
      <c r="N60" s="1"/>
      <c r="O60" s="1"/>
      <c r="P60" s="1"/>
      <c r="Q60" s="1"/>
      <c r="R60" s="1"/>
      <c r="S60" s="1"/>
      <c r="T60" s="1"/>
      <c r="U60" s="1"/>
      <c r="V60" s="1"/>
      <c r="W60" s="1"/>
      <c r="X60" s="1"/>
      <c r="Y60" s="1"/>
      <c r="Z60" s="1"/>
      <c r="AA60" s="1"/>
      <c r="AB60" s="1"/>
      <c r="AC60" s="1"/>
      <c r="AD60" s="1"/>
      <c r="AE60" s="1"/>
      <c r="AF60" s="1"/>
      <c r="AG60" s="1"/>
      <c r="AH60" s="1"/>
    </row>
    <row r="61" ht="14.25" customHeight="1">
      <c r="A61" s="17">
        <v>2019.0</v>
      </c>
      <c r="B61" s="17" t="s">
        <v>462</v>
      </c>
      <c r="C61" s="1" t="s">
        <v>486</v>
      </c>
      <c r="D61" s="1" t="b">
        <v>1</v>
      </c>
      <c r="E61" s="1" t="s">
        <v>487</v>
      </c>
      <c r="F61" s="14" t="s">
        <v>488</v>
      </c>
      <c r="G61" s="1" t="s">
        <v>409</v>
      </c>
      <c r="H61" s="1" t="s">
        <v>489</v>
      </c>
      <c r="I61" s="14" t="s">
        <v>490</v>
      </c>
      <c r="J61" s="1" t="s">
        <v>491</v>
      </c>
      <c r="K61" s="1" t="s">
        <v>487</v>
      </c>
      <c r="L61" s="1" t="str">
        <f t="shared" si="2"/>
        <v>- [Project Repository](https://github.com/GeoSurge/get-the-lead-out-map)</v>
      </c>
      <c r="M61" s="1" t="s">
        <v>492</v>
      </c>
      <c r="N61" s="1"/>
      <c r="O61" s="1"/>
      <c r="P61" s="1"/>
      <c r="Q61" s="1"/>
      <c r="R61" s="1"/>
      <c r="S61" s="1"/>
      <c r="T61" s="1"/>
      <c r="U61" s="1"/>
      <c r="V61" s="1"/>
      <c r="W61" s="1"/>
      <c r="X61" s="1"/>
      <c r="Y61" s="1"/>
      <c r="Z61" s="1"/>
      <c r="AA61" s="1"/>
      <c r="AB61" s="1"/>
      <c r="AC61" s="1"/>
      <c r="AD61" s="1"/>
      <c r="AE61" s="1"/>
      <c r="AF61" s="1"/>
      <c r="AG61" s="1"/>
      <c r="AH61" s="1"/>
    </row>
    <row r="62" ht="14.25" customHeight="1">
      <c r="A62" s="17">
        <v>2019.0</v>
      </c>
      <c r="B62" s="17" t="s">
        <v>462</v>
      </c>
      <c r="C62" s="1" t="s">
        <v>493</v>
      </c>
      <c r="D62" s="1" t="b">
        <v>1</v>
      </c>
      <c r="E62" s="1" t="s">
        <v>494</v>
      </c>
      <c r="F62" s="14" t="s">
        <v>495</v>
      </c>
      <c r="G62" s="1" t="s">
        <v>409</v>
      </c>
      <c r="H62" s="1" t="s">
        <v>496</v>
      </c>
      <c r="I62" s="14" t="s">
        <v>431</v>
      </c>
      <c r="J62" s="1" t="s">
        <v>497</v>
      </c>
      <c r="K62" s="1" t="s">
        <v>494</v>
      </c>
      <c r="L62" s="1" t="str">
        <f t="shared" si="2"/>
        <v>- [Project Repository](https://github.com/CAWaterBoardDataCenter/PFAS-Analysis-and-Intervention)</v>
      </c>
      <c r="M62" s="1" t="s">
        <v>498</v>
      </c>
      <c r="N62" s="1"/>
      <c r="O62" s="1"/>
      <c r="P62" s="1"/>
      <c r="Q62" s="1"/>
      <c r="R62" s="1"/>
      <c r="S62" s="1"/>
      <c r="T62" s="1"/>
      <c r="U62" s="1"/>
      <c r="V62" s="1"/>
      <c r="W62" s="1"/>
      <c r="X62" s="1"/>
      <c r="Y62" s="1"/>
      <c r="Z62" s="1"/>
      <c r="AA62" s="1"/>
      <c r="AB62" s="1"/>
      <c r="AC62" s="1"/>
      <c r="AD62" s="1"/>
      <c r="AE62" s="1"/>
      <c r="AF62" s="1"/>
      <c r="AG62" s="1"/>
      <c r="AH62" s="1"/>
    </row>
    <row r="63" ht="14.25" customHeight="1">
      <c r="A63" s="17">
        <v>2019.0</v>
      </c>
      <c r="B63" s="17" t="s">
        <v>462</v>
      </c>
      <c r="C63" s="1" t="s">
        <v>499</v>
      </c>
      <c r="D63" s="1" t="b">
        <v>1</v>
      </c>
      <c r="E63" s="1" t="s">
        <v>500</v>
      </c>
      <c r="F63" s="14" t="s">
        <v>501</v>
      </c>
      <c r="G63" s="1" t="s">
        <v>395</v>
      </c>
      <c r="H63" s="1"/>
      <c r="I63" s="14" t="s">
        <v>431</v>
      </c>
      <c r="J63" s="1" t="s">
        <v>502</v>
      </c>
      <c r="K63" s="1" t="s">
        <v>500</v>
      </c>
      <c r="L63" s="1" t="str">
        <f t="shared" si="2"/>
        <v>- [Project Repository](https://github.com/julianaspector/SourceWaterTimeMachine)</v>
      </c>
      <c r="M63" s="1" t="s">
        <v>503</v>
      </c>
      <c r="N63" s="1"/>
      <c r="O63" s="1"/>
      <c r="P63" s="1"/>
      <c r="Q63" s="1"/>
      <c r="R63" s="1"/>
      <c r="S63" s="1"/>
      <c r="T63" s="1"/>
      <c r="U63" s="1"/>
      <c r="V63" s="1"/>
      <c r="W63" s="1"/>
      <c r="X63" s="1"/>
      <c r="Y63" s="1"/>
      <c r="Z63" s="1"/>
      <c r="AA63" s="1"/>
      <c r="AB63" s="1"/>
      <c r="AC63" s="1"/>
      <c r="AD63" s="1"/>
      <c r="AE63" s="1"/>
      <c r="AF63" s="1"/>
      <c r="AG63" s="1"/>
      <c r="AH63" s="1"/>
    </row>
    <row r="64" ht="14.25" customHeight="1">
      <c r="A64" s="17">
        <v>2019.0</v>
      </c>
      <c r="B64" s="17" t="s">
        <v>462</v>
      </c>
      <c r="C64" s="1" t="s">
        <v>504</v>
      </c>
      <c r="D64" s="1" t="b">
        <v>1</v>
      </c>
      <c r="E64" s="1" t="s">
        <v>505</v>
      </c>
      <c r="F64" s="14" t="s">
        <v>506</v>
      </c>
      <c r="G64" s="1" t="s">
        <v>409</v>
      </c>
      <c r="H64" s="1" t="s">
        <v>507</v>
      </c>
      <c r="I64" s="14" t="s">
        <v>431</v>
      </c>
      <c r="J64" s="1" t="s">
        <v>389</v>
      </c>
      <c r="K64" s="1" t="s">
        <v>508</v>
      </c>
      <c r="L64" s="1" t="str">
        <f t="shared" si="2"/>
        <v>- [Project Repository](https://github.com/caccr/cawdc_2019)</v>
      </c>
      <c r="M64" s="1" t="s">
        <v>509</v>
      </c>
      <c r="N64" s="1"/>
      <c r="O64" s="1"/>
      <c r="P64" s="1"/>
      <c r="Q64" s="1"/>
      <c r="R64" s="1"/>
      <c r="S64" s="1"/>
      <c r="T64" s="1"/>
      <c r="U64" s="1"/>
      <c r="V64" s="1"/>
      <c r="W64" s="1"/>
      <c r="X64" s="1"/>
      <c r="Y64" s="1"/>
      <c r="Z64" s="1"/>
      <c r="AA64" s="1"/>
      <c r="AB64" s="1"/>
      <c r="AC64" s="1"/>
      <c r="AD64" s="1"/>
      <c r="AE64" s="1"/>
      <c r="AF64" s="1"/>
      <c r="AG64" s="1"/>
      <c r="AH64" s="1"/>
    </row>
    <row r="65" ht="14.25" customHeight="1">
      <c r="A65" s="17">
        <v>2019.0</v>
      </c>
      <c r="B65" s="17" t="s">
        <v>462</v>
      </c>
      <c r="C65" s="1" t="s">
        <v>510</v>
      </c>
      <c r="D65" s="1" t="b">
        <v>1</v>
      </c>
      <c r="E65" s="1" t="s">
        <v>511</v>
      </c>
      <c r="F65" s="14" t="s">
        <v>512</v>
      </c>
      <c r="G65" s="1" t="s">
        <v>417</v>
      </c>
      <c r="H65" s="1" t="s">
        <v>387</v>
      </c>
      <c r="I65" s="14" t="s">
        <v>431</v>
      </c>
      <c r="J65" s="1" t="s">
        <v>513</v>
      </c>
      <c r="K65" s="1" t="s">
        <v>511</v>
      </c>
      <c r="L65" s="1" t="str">
        <f t="shared" si="2"/>
        <v/>
      </c>
      <c r="M65" s="1"/>
      <c r="N65" s="1"/>
      <c r="O65" s="1"/>
      <c r="P65" s="1"/>
      <c r="Q65" s="1"/>
      <c r="R65" s="1"/>
      <c r="S65" s="1"/>
      <c r="T65" s="1"/>
      <c r="U65" s="1"/>
      <c r="V65" s="1"/>
      <c r="W65" s="1"/>
      <c r="X65" s="1"/>
      <c r="Y65" s="1"/>
      <c r="Z65" s="1"/>
      <c r="AA65" s="1"/>
      <c r="AB65" s="1"/>
      <c r="AC65" s="1"/>
      <c r="AD65" s="1"/>
      <c r="AE65" s="1"/>
      <c r="AF65" s="1"/>
      <c r="AG65" s="1"/>
      <c r="AH65" s="1"/>
    </row>
    <row r="66" ht="14.25" customHeight="1">
      <c r="A66" s="17">
        <v>2019.0</v>
      </c>
      <c r="B66" s="17" t="s">
        <v>462</v>
      </c>
      <c r="C66" s="1" t="s">
        <v>514</v>
      </c>
      <c r="D66" s="1" t="b">
        <v>1</v>
      </c>
      <c r="E66" s="1" t="s">
        <v>515</v>
      </c>
      <c r="F66" s="14" t="s">
        <v>516</v>
      </c>
      <c r="G66" s="1" t="s">
        <v>479</v>
      </c>
      <c r="H66" s="1"/>
      <c r="I66" s="14" t="s">
        <v>431</v>
      </c>
      <c r="J66" s="1" t="s">
        <v>517</v>
      </c>
      <c r="K66" s="1" t="s">
        <v>515</v>
      </c>
      <c r="L66" s="1" t="str">
        <f t="shared" si="2"/>
        <v/>
      </c>
      <c r="M66" s="1"/>
      <c r="N66" s="1"/>
      <c r="O66" s="1"/>
      <c r="P66" s="1"/>
      <c r="Q66" s="1"/>
      <c r="R66" s="1"/>
      <c r="S66" s="1"/>
      <c r="T66" s="1"/>
      <c r="U66" s="1"/>
      <c r="V66" s="1"/>
      <c r="W66" s="1"/>
      <c r="X66" s="1"/>
      <c r="Y66" s="1"/>
      <c r="Z66" s="1"/>
      <c r="AA66" s="1"/>
      <c r="AB66" s="1"/>
      <c r="AC66" s="1"/>
      <c r="AD66" s="1"/>
      <c r="AE66" s="1"/>
      <c r="AF66" s="1"/>
      <c r="AG66" s="1"/>
      <c r="AH66" s="1"/>
    </row>
    <row r="67" ht="14.25" customHeight="1">
      <c r="A67" s="17">
        <v>2019.0</v>
      </c>
      <c r="B67" s="17" t="s">
        <v>462</v>
      </c>
      <c r="C67" s="1" t="s">
        <v>518</v>
      </c>
      <c r="D67" s="1" t="b">
        <v>1</v>
      </c>
      <c r="E67" s="1" t="s">
        <v>519</v>
      </c>
      <c r="F67" s="14" t="s">
        <v>520</v>
      </c>
      <c r="G67" s="1" t="s">
        <v>409</v>
      </c>
      <c r="H67" s="1"/>
      <c r="I67" s="14" t="s">
        <v>521</v>
      </c>
      <c r="J67" s="1" t="s">
        <v>518</v>
      </c>
      <c r="K67" s="1" t="s">
        <v>519</v>
      </c>
      <c r="L67" s="1" t="str">
        <f t="shared" si="2"/>
        <v>- [Project Repository](https://github.com/junjunjd/WeedsViz)</v>
      </c>
      <c r="M67" s="1" t="s">
        <v>522</v>
      </c>
      <c r="N67" s="1"/>
      <c r="O67" s="1"/>
      <c r="P67" s="1"/>
      <c r="Q67" s="1"/>
      <c r="R67" s="1"/>
      <c r="S67" s="1"/>
      <c r="T67" s="1"/>
      <c r="U67" s="1"/>
      <c r="V67" s="1"/>
      <c r="W67" s="1"/>
      <c r="X67" s="1"/>
      <c r="Y67" s="1"/>
      <c r="Z67" s="1"/>
      <c r="AA67" s="1"/>
      <c r="AB67" s="1"/>
      <c r="AC67" s="1"/>
      <c r="AD67" s="1"/>
      <c r="AE67" s="1"/>
      <c r="AF67" s="1"/>
      <c r="AG67" s="1"/>
      <c r="AH67" s="1"/>
    </row>
    <row r="68" ht="14.25" customHeight="1">
      <c r="A68" s="17">
        <v>2019.0</v>
      </c>
      <c r="B68" s="17" t="s">
        <v>462</v>
      </c>
      <c r="C68" s="1" t="s">
        <v>523</v>
      </c>
      <c r="D68" s="1" t="b">
        <v>1</v>
      </c>
      <c r="E68" s="1" t="s">
        <v>524</v>
      </c>
      <c r="F68" s="14" t="s">
        <v>525</v>
      </c>
      <c r="G68" s="1" t="s">
        <v>403</v>
      </c>
      <c r="H68" s="1" t="s">
        <v>430</v>
      </c>
      <c r="I68" s="14" t="s">
        <v>431</v>
      </c>
      <c r="J68" s="1" t="s">
        <v>526</v>
      </c>
      <c r="K68" s="1" t="s">
        <v>524</v>
      </c>
      <c r="L68" s="1" t="str">
        <f t="shared" si="2"/>
        <v/>
      </c>
      <c r="M68" s="1"/>
      <c r="N68" s="1"/>
      <c r="O68" s="1"/>
      <c r="P68" s="1"/>
      <c r="Q68" s="1"/>
      <c r="R68" s="1"/>
      <c r="S68" s="1"/>
      <c r="T68" s="1"/>
      <c r="U68" s="1"/>
      <c r="V68" s="1"/>
      <c r="W68" s="1"/>
      <c r="X68" s="1"/>
      <c r="Y68" s="1"/>
      <c r="Z68" s="1"/>
      <c r="AA68" s="1"/>
      <c r="AB68" s="1"/>
      <c r="AC68" s="1"/>
      <c r="AD68" s="1"/>
      <c r="AE68" s="1"/>
      <c r="AF68" s="1"/>
      <c r="AG68" s="1"/>
      <c r="AH68" s="1"/>
    </row>
    <row r="69" ht="14.25" customHeight="1">
      <c r="A69" s="18">
        <v>2021.0</v>
      </c>
      <c r="B69" s="18" t="s">
        <v>527</v>
      </c>
      <c r="C69" s="1" t="s">
        <v>528</v>
      </c>
      <c r="D69" s="1" t="b">
        <v>1</v>
      </c>
      <c r="E69" s="1" t="s">
        <v>529</v>
      </c>
      <c r="F69" s="8" t="s">
        <v>530</v>
      </c>
      <c r="G69" s="1"/>
      <c r="H69" s="1" t="s">
        <v>418</v>
      </c>
      <c r="I69" s="1" t="str">
        <f t="shared" ref="I69:I74" si="3">Y69</f>
        <v>Clean Water Discrimination: The Native American Water Crisis</v>
      </c>
      <c r="J69" s="1" t="s">
        <v>531</v>
      </c>
      <c r="K69" s="1"/>
      <c r="L69" s="1"/>
      <c r="M69" s="1"/>
      <c r="N69" s="1"/>
      <c r="O69" s="1"/>
      <c r="P69" s="1"/>
      <c r="Q69" s="1"/>
      <c r="R69" s="1"/>
      <c r="S69" s="1"/>
      <c r="T69" s="1"/>
      <c r="U69" s="1"/>
      <c r="V69" s="1"/>
      <c r="W69" s="1" t="s">
        <v>532</v>
      </c>
      <c r="X69" s="1" t="s">
        <v>533</v>
      </c>
      <c r="Y69" s="1" t="s">
        <v>534</v>
      </c>
      <c r="Z69" s="1" t="s">
        <v>535</v>
      </c>
      <c r="AA69" s="1" t="s">
        <v>536</v>
      </c>
      <c r="AB69" s="1" t="s">
        <v>537</v>
      </c>
      <c r="AC69" s="1" t="s">
        <v>538</v>
      </c>
      <c r="AD69" s="1" t="s">
        <v>539</v>
      </c>
      <c r="AE69" s="1" t="s">
        <v>540</v>
      </c>
      <c r="AF69" s="1" t="s">
        <v>541</v>
      </c>
      <c r="AG69" s="1" t="s">
        <v>542</v>
      </c>
      <c r="AH69" s="1" t="s">
        <v>543</v>
      </c>
    </row>
    <row r="70" ht="14.25" customHeight="1">
      <c r="A70" s="18">
        <v>2021.0</v>
      </c>
      <c r="B70" s="18" t="s">
        <v>527</v>
      </c>
      <c r="C70" s="1" t="s">
        <v>544</v>
      </c>
      <c r="D70" s="1" t="b">
        <v>1</v>
      </c>
      <c r="E70" s="1" t="s">
        <v>545</v>
      </c>
      <c r="F70" s="1"/>
      <c r="G70" s="1"/>
      <c r="H70" s="1"/>
      <c r="I70" s="1" t="str">
        <f t="shared" si="3"/>
        <v>Our innovation is a real-time data collection method for field-scale (and larger) sensing of soil moisture, snowmass, and vegetation that may be used to ground-truth, calibrate, complement, and augment the current methods of estimating surface water data at these scales -- critical inputs for water markets and implementation of the SGMA, including the soon to be unveiled OpenET (evapotranspiration) platform which uses estimates from satellite imagery, not proximal measures.</v>
      </c>
      <c r="J70" s="1" t="s">
        <v>546</v>
      </c>
      <c r="K70" s="1"/>
      <c r="L70" s="1"/>
      <c r="M70" s="1"/>
      <c r="N70" s="1"/>
      <c r="O70" s="1"/>
      <c r="P70" s="1"/>
      <c r="Q70" s="1"/>
      <c r="R70" s="1"/>
      <c r="S70" s="1"/>
      <c r="T70" s="1"/>
      <c r="U70" s="1"/>
      <c r="V70" s="1"/>
      <c r="W70" s="1" t="s">
        <v>547</v>
      </c>
      <c r="X70" s="1" t="s">
        <v>548</v>
      </c>
      <c r="Y70" s="1" t="s">
        <v>549</v>
      </c>
      <c r="Z70" s="1" t="s">
        <v>550</v>
      </c>
      <c r="AA70" s="1" t="s">
        <v>551</v>
      </c>
      <c r="AB70" s="1" t="s">
        <v>552</v>
      </c>
      <c r="AC70" s="1" t="s">
        <v>553</v>
      </c>
      <c r="AD70" s="1" t="s">
        <v>554</v>
      </c>
      <c r="AE70" s="1" t="s">
        <v>555</v>
      </c>
      <c r="AF70" s="1" t="s">
        <v>556</v>
      </c>
      <c r="AG70" s="1" t="s">
        <v>557</v>
      </c>
      <c r="AH70" s="1"/>
    </row>
    <row r="71" ht="14.25" customHeight="1">
      <c r="A71" s="18">
        <v>2021.0</v>
      </c>
      <c r="B71" s="18" t="s">
        <v>527</v>
      </c>
      <c r="C71" s="1" t="s">
        <v>558</v>
      </c>
      <c r="D71" s="1" t="b">
        <v>1</v>
      </c>
      <c r="E71" s="1" t="s">
        <v>559</v>
      </c>
      <c r="F71" s="8" t="s">
        <v>560</v>
      </c>
      <c r="G71" s="1"/>
      <c r="H71" s="1" t="s">
        <v>387</v>
      </c>
      <c r="I71" s="1" t="str">
        <f t="shared" si="3"/>
        <v>We combine census data with groundwater quality data to provide a high-resolution map that helps answer the question "how do social, economic, and employment factors impact groundwater quality?".</v>
      </c>
      <c r="J71" s="1" t="s">
        <v>561</v>
      </c>
      <c r="K71" s="1"/>
      <c r="L71" s="1"/>
      <c r="M71" s="1"/>
      <c r="N71" s="1"/>
      <c r="O71" s="1"/>
      <c r="P71" s="1"/>
      <c r="Q71" s="1"/>
      <c r="R71" s="1"/>
      <c r="S71" s="1"/>
      <c r="T71" s="1"/>
      <c r="U71" s="1"/>
      <c r="V71" s="1"/>
      <c r="W71" s="1" t="s">
        <v>562</v>
      </c>
      <c r="X71" s="1" t="s">
        <v>563</v>
      </c>
      <c r="Y71" s="1" t="s">
        <v>564</v>
      </c>
      <c r="Z71" s="1" t="s">
        <v>535</v>
      </c>
      <c r="AA71" s="1" t="s">
        <v>565</v>
      </c>
      <c r="AB71" s="1" t="s">
        <v>566</v>
      </c>
      <c r="AC71" s="1" t="s">
        <v>567</v>
      </c>
      <c r="AD71" s="1" t="s">
        <v>568</v>
      </c>
      <c r="AE71" s="1" t="s">
        <v>569</v>
      </c>
      <c r="AF71" s="1" t="s">
        <v>570</v>
      </c>
      <c r="AG71" s="1"/>
      <c r="AH71" s="1" t="s">
        <v>571</v>
      </c>
    </row>
    <row r="72" ht="14.25" customHeight="1">
      <c r="A72" s="18">
        <v>2021.0</v>
      </c>
      <c r="B72" s="18" t="s">
        <v>527</v>
      </c>
      <c r="C72" s="1" t="s">
        <v>572</v>
      </c>
      <c r="D72" s="1" t="b">
        <v>1</v>
      </c>
      <c r="E72" s="1" t="s">
        <v>573</v>
      </c>
      <c r="F72" s="2" t="s">
        <v>574</v>
      </c>
      <c r="G72" s="1"/>
      <c r="H72" s="1" t="s">
        <v>452</v>
      </c>
      <c r="I72" s="1" t="str">
        <f t="shared" si="3"/>
        <v>A web-based application that puts key water data at the fingertips of the community, so members can explore, understand, and advocate for the safety of their water supplies, with a focus on wells and community water systems that serve populations less than 10,000.</v>
      </c>
      <c r="J72" s="1" t="s">
        <v>575</v>
      </c>
      <c r="K72" s="1"/>
      <c r="L72" s="1"/>
      <c r="M72" s="1"/>
      <c r="N72" s="1"/>
      <c r="O72" s="1"/>
      <c r="P72" s="1"/>
      <c r="Q72" s="1"/>
      <c r="R72" s="1"/>
      <c r="S72" s="1"/>
      <c r="T72" s="1"/>
      <c r="U72" s="1"/>
      <c r="V72" s="1"/>
      <c r="W72" s="1" t="s">
        <v>576</v>
      </c>
      <c r="X72" s="1" t="s">
        <v>577</v>
      </c>
      <c r="Y72" s="1" t="s">
        <v>578</v>
      </c>
      <c r="Z72" s="1" t="s">
        <v>550</v>
      </c>
      <c r="AA72" s="1" t="s">
        <v>579</v>
      </c>
      <c r="AB72" s="1" t="s">
        <v>580</v>
      </c>
      <c r="AC72" s="1" t="s">
        <v>581</v>
      </c>
      <c r="AD72" s="1" t="s">
        <v>582</v>
      </c>
      <c r="AE72" s="1" t="s">
        <v>583</v>
      </c>
      <c r="AF72" s="1" t="s">
        <v>584</v>
      </c>
      <c r="AG72" s="1" t="s">
        <v>585</v>
      </c>
      <c r="AH72" s="1" t="s">
        <v>586</v>
      </c>
    </row>
    <row r="73" ht="14.25" customHeight="1">
      <c r="A73" s="18">
        <v>2021.0</v>
      </c>
      <c r="B73" s="18" t="s">
        <v>527</v>
      </c>
      <c r="C73" s="1" t="s">
        <v>587</v>
      </c>
      <c r="D73" s="1" t="b">
        <v>1</v>
      </c>
      <c r="E73" s="1" t="s">
        <v>588</v>
      </c>
      <c r="F73" s="8" t="s">
        <v>589</v>
      </c>
      <c r="G73" s="1"/>
      <c r="H73" s="1" t="s">
        <v>507</v>
      </c>
      <c r="I73" s="1" t="str">
        <f t="shared" si="3"/>
        <v>Bringing awareness to and analyzing a newly researched class of chemicals, PFAS.</v>
      </c>
      <c r="J73" s="1" t="s">
        <v>497</v>
      </c>
      <c r="K73" s="1"/>
      <c r="L73" s="1"/>
      <c r="M73" s="1"/>
      <c r="N73" s="1"/>
      <c r="O73" s="1"/>
      <c r="P73" s="1"/>
      <c r="Q73" s="1"/>
      <c r="R73" s="1"/>
      <c r="S73" s="1"/>
      <c r="T73" s="1"/>
      <c r="U73" s="1"/>
      <c r="V73" s="1"/>
      <c r="W73" s="1" t="s">
        <v>590</v>
      </c>
      <c r="X73" s="1" t="s">
        <v>591</v>
      </c>
      <c r="Y73" s="1" t="s">
        <v>592</v>
      </c>
      <c r="Z73" s="1" t="s">
        <v>535</v>
      </c>
      <c r="AA73" s="1" t="s">
        <v>593</v>
      </c>
      <c r="AB73" s="1" t="s">
        <v>594</v>
      </c>
      <c r="AC73" s="1" t="s">
        <v>595</v>
      </c>
      <c r="AD73" s="1" t="s">
        <v>596</v>
      </c>
      <c r="AE73" s="1" t="s">
        <v>597</v>
      </c>
      <c r="AF73" s="1" t="s">
        <v>598</v>
      </c>
      <c r="AG73" s="1" t="s">
        <v>599</v>
      </c>
      <c r="AH73" s="1" t="s">
        <v>600</v>
      </c>
    </row>
    <row r="74" ht="14.25" customHeight="1">
      <c r="A74" s="18">
        <v>2021.0</v>
      </c>
      <c r="B74" s="18" t="s">
        <v>527</v>
      </c>
      <c r="C74" s="1" t="s">
        <v>601</v>
      </c>
      <c r="D74" s="1" t="b">
        <v>1</v>
      </c>
      <c r="E74" s="1" t="s">
        <v>602</v>
      </c>
      <c r="F74" s="8" t="s">
        <v>603</v>
      </c>
      <c r="G74" s="1"/>
      <c r="H74" s="1" t="s">
        <v>430</v>
      </c>
      <c r="I74" s="1" t="str">
        <f t="shared" si="3"/>
        <v>Develop a prediction system for and forensically reconstruct statewide renewable freshwater supply data, to help manage water risk in a timely manner - a system that is usable, dynamic in space &amp; time, publicly-available-data-driven, reproducible, and time and resource efficient.</v>
      </c>
      <c r="J74" s="1" t="s">
        <v>604</v>
      </c>
      <c r="K74" s="1"/>
      <c r="L74" s="1"/>
      <c r="M74" s="1"/>
      <c r="N74" s="1"/>
      <c r="O74" s="1"/>
      <c r="P74" s="1"/>
      <c r="Q74" s="1"/>
      <c r="R74" s="1"/>
      <c r="S74" s="1"/>
      <c r="T74" s="1"/>
      <c r="U74" s="1"/>
      <c r="V74" s="1"/>
      <c r="W74" s="1" t="s">
        <v>605</v>
      </c>
      <c r="X74" s="1" t="s">
        <v>606</v>
      </c>
      <c r="Y74" s="1" t="s">
        <v>607</v>
      </c>
      <c r="Z74" s="1" t="s">
        <v>550</v>
      </c>
      <c r="AA74" s="1" t="s">
        <v>608</v>
      </c>
      <c r="AB74" s="1" t="s">
        <v>609</v>
      </c>
      <c r="AC74" s="1" t="s">
        <v>610</v>
      </c>
      <c r="AD74" s="1" t="s">
        <v>611</v>
      </c>
      <c r="AE74" s="1" t="s">
        <v>612</v>
      </c>
      <c r="AF74" s="1" t="s">
        <v>613</v>
      </c>
      <c r="AG74" s="1" t="s">
        <v>614</v>
      </c>
      <c r="AH74" s="1" t="s">
        <v>615</v>
      </c>
    </row>
    <row r="75" ht="14.25" customHeight="1">
      <c r="A75" s="18">
        <v>2021.0</v>
      </c>
      <c r="B75" s="18" t="s">
        <v>527</v>
      </c>
      <c r="C75" s="1" t="s">
        <v>616</v>
      </c>
      <c r="D75" s="1" t="b">
        <v>1</v>
      </c>
      <c r="E75" s="1" t="s">
        <v>617</v>
      </c>
      <c r="F75" s="2" t="s">
        <v>618</v>
      </c>
      <c r="G75" s="1"/>
      <c r="H75" s="1"/>
      <c r="I75" s="1" t="s">
        <v>619</v>
      </c>
      <c r="J75" s="1" t="s">
        <v>617</v>
      </c>
      <c r="K75" s="1"/>
      <c r="L75" s="1"/>
      <c r="M75" s="1"/>
      <c r="N75" s="1"/>
      <c r="O75" s="1"/>
      <c r="P75" s="1"/>
      <c r="Q75" s="1"/>
      <c r="R75" s="1"/>
      <c r="S75" s="1"/>
      <c r="T75" s="1"/>
      <c r="U75" s="1"/>
      <c r="V75" s="1"/>
      <c r="W75" s="1" t="s">
        <v>620</v>
      </c>
      <c r="X75" s="1" t="s">
        <v>621</v>
      </c>
      <c r="Y75" s="1" t="s">
        <v>622</v>
      </c>
      <c r="Z75" s="1" t="s">
        <v>550</v>
      </c>
      <c r="AA75" s="1" t="s">
        <v>623</v>
      </c>
      <c r="AB75" s="1" t="s">
        <v>624</v>
      </c>
      <c r="AC75" s="1" t="s">
        <v>625</v>
      </c>
      <c r="AD75" s="1" t="s">
        <v>626</v>
      </c>
      <c r="AE75" s="1" t="s">
        <v>627</v>
      </c>
      <c r="AF75" s="1" t="s">
        <v>628</v>
      </c>
      <c r="AG75" s="1" t="s">
        <v>629</v>
      </c>
      <c r="AH75" s="1" t="s">
        <v>630</v>
      </c>
    </row>
    <row r="76" ht="14.25" customHeight="1">
      <c r="A76" s="18">
        <v>2021.0</v>
      </c>
      <c r="B76" s="18" t="s">
        <v>527</v>
      </c>
      <c r="C76" s="1" t="s">
        <v>631</v>
      </c>
      <c r="D76" s="1" t="b">
        <v>1</v>
      </c>
      <c r="E76" s="1" t="s">
        <v>632</v>
      </c>
      <c r="F76" s="8" t="s">
        <v>633</v>
      </c>
      <c r="G76" s="1"/>
      <c r="H76" s="1" t="s">
        <v>634</v>
      </c>
      <c r="I76" s="1" t="str">
        <f t="shared" ref="I76:I78" si="4">Y76</f>
        <v>Visualizations that quantify and identify the degree to which communities are vulnerable to threats to their drinking water supply, and intersectionality of systemic socio-economic environmental disadvantages.</v>
      </c>
      <c r="J76" s="1" t="s">
        <v>635</v>
      </c>
      <c r="K76" s="1"/>
      <c r="L76" s="1"/>
      <c r="M76" s="1"/>
      <c r="N76" s="1"/>
      <c r="O76" s="1"/>
      <c r="P76" s="1"/>
      <c r="Q76" s="1"/>
      <c r="R76" s="1"/>
      <c r="S76" s="1"/>
      <c r="T76" s="1"/>
      <c r="U76" s="1"/>
      <c r="V76" s="1"/>
      <c r="W76" s="1" t="s">
        <v>636</v>
      </c>
      <c r="X76" s="1"/>
      <c r="Y76" s="1" t="s">
        <v>637</v>
      </c>
      <c r="Z76" s="1" t="s">
        <v>535</v>
      </c>
      <c r="AA76" s="1" t="s">
        <v>638</v>
      </c>
      <c r="AB76" s="1" t="s">
        <v>639</v>
      </c>
      <c r="AC76" s="1" t="s">
        <v>640</v>
      </c>
      <c r="AD76" s="1" t="s">
        <v>641</v>
      </c>
      <c r="AE76" s="1" t="s">
        <v>642</v>
      </c>
      <c r="AF76" s="1" t="s">
        <v>643</v>
      </c>
      <c r="AG76" s="1"/>
      <c r="AH76" s="1" t="s">
        <v>644</v>
      </c>
    </row>
    <row r="77" ht="14.25" customHeight="1">
      <c r="A77" s="18">
        <v>2021.0</v>
      </c>
      <c r="B77" s="18" t="s">
        <v>527</v>
      </c>
      <c r="C77" s="1" t="s">
        <v>645</v>
      </c>
      <c r="D77" s="1" t="b">
        <v>1</v>
      </c>
      <c r="E77" s="1" t="s">
        <v>646</v>
      </c>
      <c r="F77" s="8" t="s">
        <v>647</v>
      </c>
      <c r="G77" s="1"/>
      <c r="H77" s="1" t="s">
        <v>507</v>
      </c>
      <c r="I77" s="1" t="str">
        <f t="shared" si="4"/>
        <v>gspdrywells is an open source, data visualization web platform for understanding domestic well failure in the San Joaquin Valley across a range of groundwater level management scenarios, including minimum thresholds (MTs) set forth in groundwater sustainability plans (GSPs).</v>
      </c>
      <c r="J77" s="1" t="s">
        <v>648</v>
      </c>
      <c r="K77" s="1"/>
      <c r="L77" s="1"/>
      <c r="M77" s="1"/>
      <c r="N77" s="1"/>
      <c r="O77" s="1"/>
      <c r="P77" s="1"/>
      <c r="Q77" s="1"/>
      <c r="R77" s="1"/>
      <c r="S77" s="1"/>
      <c r="T77" s="1"/>
      <c r="U77" s="1"/>
      <c r="V77" s="1"/>
      <c r="W77" s="1" t="s">
        <v>649</v>
      </c>
      <c r="X77" s="1" t="s">
        <v>650</v>
      </c>
      <c r="Y77" s="1" t="s">
        <v>651</v>
      </c>
      <c r="Z77" s="1" t="s">
        <v>535</v>
      </c>
      <c r="AA77" s="1" t="s">
        <v>652</v>
      </c>
      <c r="AB77" s="1" t="s">
        <v>653</v>
      </c>
      <c r="AC77" s="1" t="s">
        <v>654</v>
      </c>
      <c r="AD77" s="1" t="s">
        <v>655</v>
      </c>
      <c r="AE77" s="1" t="s">
        <v>656</v>
      </c>
      <c r="AF77" s="1" t="s">
        <v>657</v>
      </c>
      <c r="AG77" s="1" t="s">
        <v>658</v>
      </c>
      <c r="AH77" s="1" t="s">
        <v>659</v>
      </c>
    </row>
    <row r="78" ht="14.25" customHeight="1">
      <c r="A78" s="18">
        <v>2021.0</v>
      </c>
      <c r="B78" s="18" t="s">
        <v>527</v>
      </c>
      <c r="C78" s="1" t="s">
        <v>660</v>
      </c>
      <c r="D78" s="1" t="b">
        <v>1</v>
      </c>
      <c r="E78" s="1" t="s">
        <v>661</v>
      </c>
      <c r="F78" s="8" t="s">
        <v>662</v>
      </c>
      <c r="G78" s="1"/>
      <c r="H78" s="1" t="s">
        <v>175</v>
      </c>
      <c r="I78" s="1" t="str">
        <f t="shared" si="4"/>
        <v>The sdwisard R package is an easy-to-use, open-source query tool for California drinking water quality data in the SDWIS database that enables reproducible analysis.</v>
      </c>
      <c r="J78" s="1" t="s">
        <v>663</v>
      </c>
      <c r="K78" s="1"/>
      <c r="L78" s="1"/>
      <c r="M78" s="1"/>
      <c r="N78" s="1"/>
      <c r="O78" s="1"/>
      <c r="P78" s="1"/>
      <c r="Q78" s="1"/>
      <c r="R78" s="1"/>
      <c r="S78" s="1"/>
      <c r="T78" s="1"/>
      <c r="U78" s="1"/>
      <c r="V78" s="1"/>
      <c r="W78" s="1" t="s">
        <v>664</v>
      </c>
      <c r="X78" s="1" t="s">
        <v>665</v>
      </c>
      <c r="Y78" s="1" t="s">
        <v>666</v>
      </c>
      <c r="Z78" s="1" t="s">
        <v>535</v>
      </c>
      <c r="AA78" s="1" t="s">
        <v>551</v>
      </c>
      <c r="AB78" s="1" t="s">
        <v>667</v>
      </c>
      <c r="AC78" s="1" t="s">
        <v>668</v>
      </c>
      <c r="AD78" s="1" t="s">
        <v>669</v>
      </c>
      <c r="AE78" s="1" t="s">
        <v>670</v>
      </c>
      <c r="AF78" s="1" t="s">
        <v>671</v>
      </c>
      <c r="AG78" s="1" t="s">
        <v>672</v>
      </c>
      <c r="AH78" s="1" t="s">
        <v>673</v>
      </c>
    </row>
    <row r="79" ht="14.25" customHeight="1">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row>
    <row r="80" ht="14.25" customHeight="1">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row>
    <row r="81" ht="14.25" customHeight="1">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row>
    <row r="82" ht="14.25" customHeight="1">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row>
    <row r="83" ht="14.25" customHeight="1">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row>
    <row r="84" ht="14.25" customHeight="1">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row>
    <row r="85" ht="14.25" customHeight="1">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row>
    <row r="86" ht="14.25" customHeight="1">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row>
    <row r="87" ht="14.25" customHeight="1">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row>
    <row r="88" ht="14.25" customHeight="1">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row>
    <row r="89" ht="14.25" customHeight="1">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row>
    <row r="90" ht="14.25" customHeight="1">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row>
    <row r="91" ht="14.25" customHeight="1">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row>
    <row r="92" ht="14.25" customHeight="1">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row>
    <row r="93" ht="14.25" customHeight="1">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row>
    <row r="94" ht="14.25" customHeight="1">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row>
    <row r="95" ht="14.25" customHeight="1">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row>
    <row r="96" ht="14.25" customHeight="1">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row>
    <row r="97" ht="14.25" customHeight="1">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row>
    <row r="98" ht="14.25" customHeight="1">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row>
    <row r="99" ht="14.25" customHeight="1">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row>
    <row r="100" ht="14.2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row>
    <row r="101" ht="14.2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row>
    <row r="102" ht="14.2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row>
    <row r="103" ht="14.2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row>
    <row r="104" ht="14.2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row>
    <row r="105" ht="14.2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row>
    <row r="106" ht="14.2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row>
    <row r="107" ht="14.2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row>
    <row r="108" ht="14.2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row>
    <row r="109" ht="14.2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row>
    <row r="110" ht="14.2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row>
    <row r="111" ht="14.2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row>
    <row r="112" ht="14.2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row>
    <row r="113" ht="14.2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row>
    <row r="114" ht="14.2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row>
    <row r="115" ht="14.2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row>
    <row r="116" ht="14.2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row>
    <row r="117" ht="14.2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row>
    <row r="118" ht="14.2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row>
    <row r="119" ht="14.2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row>
    <row r="120" ht="14.2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row>
    <row r="121" ht="14.2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row>
    <row r="122" ht="14.2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row>
    <row r="123" ht="14.2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row>
    <row r="124" ht="14.2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row>
    <row r="125" ht="14.2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row>
    <row r="126" ht="14.2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row>
    <row r="127" ht="14.2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row>
    <row r="128" ht="14.2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row>
    <row r="129" ht="14.2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row>
    <row r="130" ht="14.2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row>
    <row r="131" ht="14.2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row>
    <row r="132" ht="14.2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row>
    <row r="133" ht="14.2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row>
    <row r="134" ht="14.2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row>
    <row r="135" ht="14.2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row>
    <row r="136" ht="14.2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row>
    <row r="137" ht="14.2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row>
    <row r="138" ht="14.2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row>
    <row r="139" ht="14.2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row>
    <row r="140" ht="14.2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row>
    <row r="141" ht="14.2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row>
    <row r="142" ht="14.2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row>
    <row r="143" ht="14.2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row>
    <row r="144" ht="14.2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row>
    <row r="145" ht="14.2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row>
    <row r="146" ht="14.2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row>
    <row r="147" ht="14.2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row>
    <row r="148" ht="14.2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row>
    <row r="149" ht="14.2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row>
    <row r="150" ht="14.2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row>
    <row r="151" ht="14.2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row>
    <row r="152" ht="14.2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row>
    <row r="153" ht="14.2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row>
    <row r="154" ht="14.2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row>
    <row r="155" ht="14.2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row>
    <row r="156" ht="14.2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row>
    <row r="157" ht="14.2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row>
    <row r="158" ht="14.2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row>
    <row r="159" ht="14.2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row>
    <row r="160" ht="14.2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row>
    <row r="161" ht="14.2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row>
    <row r="162" ht="14.2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row>
    <row r="163" ht="14.2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row>
    <row r="164" ht="14.2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row>
    <row r="165" ht="14.2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row>
    <row r="166" ht="14.2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row>
    <row r="167" ht="14.2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row>
    <row r="168" ht="14.2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row>
    <row r="169" ht="14.2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row>
    <row r="170" ht="14.2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row>
    <row r="171" ht="14.2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row>
    <row r="172" ht="14.2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row>
    <row r="173" ht="14.2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row>
    <row r="174" ht="14.2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row>
    <row r="175" ht="14.2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row>
    <row r="176" ht="14.2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row>
    <row r="177" ht="14.2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row>
    <row r="178" ht="14.2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row>
    <row r="179" ht="14.2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row>
    <row r="180" ht="14.2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row>
    <row r="181" ht="14.2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row>
    <row r="182" ht="14.2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row>
    <row r="183" ht="14.2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row>
    <row r="184" ht="14.2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row>
    <row r="185" ht="14.2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row>
    <row r="186" ht="14.2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row>
    <row r="187" ht="14.2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row>
    <row r="188" ht="14.2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row>
    <row r="189" ht="14.2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row>
    <row r="190" ht="14.2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row>
    <row r="191" ht="14.2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row>
    <row r="192" ht="14.2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row>
    <row r="193" ht="14.2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row>
    <row r="194" ht="14.2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row>
    <row r="195" ht="14.2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row>
    <row r="196" ht="14.2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row>
    <row r="197" ht="14.2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row>
    <row r="198" ht="14.2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row>
    <row r="199" ht="14.2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row>
    <row r="200" ht="14.2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row>
    <row r="201" ht="14.2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row>
    <row r="202" ht="14.2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row>
    <row r="203" ht="14.2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row>
    <row r="204" ht="14.2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row>
    <row r="205" ht="14.2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row>
    <row r="206" ht="14.2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row>
    <row r="207" ht="14.2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row>
    <row r="208" ht="14.2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row>
    <row r="209" ht="14.2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row>
    <row r="210" ht="14.2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row>
    <row r="211" ht="14.2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row>
    <row r="212" ht="14.2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row>
    <row r="213" ht="14.2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row>
    <row r="214" ht="14.2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row>
    <row r="215" ht="14.2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row>
    <row r="216" ht="14.2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row>
    <row r="217" ht="14.2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row>
    <row r="218" ht="14.2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row>
    <row r="219" ht="14.2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row>
    <row r="220" ht="14.2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row>
    <row r="221" ht="14.2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row>
    <row r="222" ht="14.2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row>
    <row r="223" ht="14.2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row>
    <row r="224" ht="14.2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row>
    <row r="225" ht="14.2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row>
    <row r="226" ht="14.2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row>
    <row r="227" ht="14.2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row>
    <row r="228" ht="14.2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row>
    <row r="229" ht="14.2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row>
    <row r="230" ht="14.2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row>
    <row r="231" ht="14.2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row>
    <row r="232" ht="14.2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row>
    <row r="233" ht="14.2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row>
    <row r="234" ht="14.2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row>
    <row r="235" ht="14.2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row>
    <row r="236" ht="14.2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row>
    <row r="237" ht="14.2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row>
    <row r="238" ht="14.2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row>
    <row r="239" ht="14.2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row>
    <row r="240" ht="14.2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row>
    <row r="241" ht="14.2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row>
    <row r="242" ht="14.2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row>
    <row r="243" ht="14.2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row>
    <row r="244" ht="14.2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row>
    <row r="245" ht="14.2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row>
    <row r="246" ht="14.2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row>
    <row r="247" ht="14.2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row>
    <row r="248" ht="14.2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row>
    <row r="249" ht="14.2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row>
    <row r="250" ht="14.2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row>
    <row r="251" ht="14.2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row>
    <row r="252" ht="14.2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row>
    <row r="253" ht="14.2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row>
    <row r="254" ht="14.2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row>
    <row r="255" ht="14.2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row>
    <row r="256" ht="14.2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row>
    <row r="257" ht="14.2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row>
    <row r="258" ht="14.2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row>
    <row r="259" ht="14.2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row>
    <row r="260" ht="14.2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row>
    <row r="261" ht="14.2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row>
    <row r="262" ht="14.2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row>
    <row r="263" ht="14.2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row>
    <row r="264" ht="14.2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row>
    <row r="265" ht="14.2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row>
    <row r="266" ht="14.2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row>
    <row r="267" ht="14.2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row>
    <row r="268" ht="14.2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row>
    <row r="269" ht="14.2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row>
    <row r="270" ht="14.2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row>
    <row r="271" ht="14.2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row>
    <row r="272" ht="14.2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row>
    <row r="273" ht="14.2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row>
    <row r="274" ht="14.2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row>
    <row r="275" ht="14.2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row>
    <row r="276" ht="14.2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row>
    <row r="277" ht="14.2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row>
    <row r="278" ht="14.2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row>
    <row r="279" ht="14.2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row>
    <row r="280" ht="14.2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row>
    <row r="281" ht="14.2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row>
    <row r="282" ht="14.2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row>
    <row r="283" ht="14.2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row>
    <row r="284" ht="14.2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row>
    <row r="285" ht="14.2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row>
    <row r="286" ht="14.2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row>
    <row r="287" ht="14.2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row>
    <row r="288" ht="14.2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row>
    <row r="289" ht="14.2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row>
    <row r="290" ht="14.2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row>
    <row r="291" ht="14.2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row>
    <row r="292" ht="14.2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row>
    <row r="293" ht="14.2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row>
    <row r="294" ht="14.2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row>
    <row r="295" ht="14.2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row>
    <row r="296" ht="14.2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row>
    <row r="297" ht="14.2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row>
    <row r="298" ht="14.2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row>
    <row r="299" ht="14.2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row>
    <row r="300" ht="14.2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row>
    <row r="301" ht="14.2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row>
    <row r="302" ht="14.2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row>
    <row r="303" ht="14.2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row>
    <row r="304" ht="14.2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row>
    <row r="305" ht="14.2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row>
    <row r="306" ht="14.2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row>
    <row r="307" ht="14.2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row>
    <row r="308" ht="14.2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row>
    <row r="309" ht="14.2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row>
    <row r="310" ht="14.2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row>
    <row r="311" ht="14.2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row>
    <row r="312" ht="14.2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row>
    <row r="313" ht="14.2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row>
    <row r="314" ht="14.2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row>
    <row r="315" ht="14.2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row>
    <row r="316" ht="14.2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row>
    <row r="317" ht="14.2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row>
    <row r="318" ht="14.2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row>
    <row r="319" ht="14.2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row>
    <row r="320" ht="14.2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row>
    <row r="321" ht="14.2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row>
    <row r="322" ht="14.2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row>
    <row r="323" ht="14.2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row>
    <row r="324" ht="14.2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row>
    <row r="325" ht="14.2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row>
    <row r="326" ht="14.2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row>
    <row r="327" ht="14.2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row>
    <row r="328" ht="14.2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row>
    <row r="329" ht="14.2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row>
    <row r="330" ht="14.2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row>
    <row r="331" ht="14.2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row>
    <row r="332" ht="14.2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row>
    <row r="333" ht="14.2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row>
    <row r="334" ht="14.2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row>
    <row r="335" ht="14.2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row>
    <row r="336" ht="14.2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row>
    <row r="337" ht="14.2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row>
    <row r="338" ht="14.2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row>
    <row r="339" ht="14.2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row>
    <row r="340" ht="14.2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row>
    <row r="341" ht="14.2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row>
    <row r="342" ht="14.2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row>
    <row r="343" ht="14.2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row>
    <row r="344" ht="14.2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row>
    <row r="345" ht="14.2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row>
    <row r="346" ht="14.2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row>
    <row r="347" ht="14.2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row>
    <row r="348" ht="14.2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row>
    <row r="349" ht="14.2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row>
    <row r="350" ht="14.2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row>
    <row r="351" ht="14.2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row>
    <row r="352" ht="14.2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row>
    <row r="353" ht="14.2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row>
    <row r="354" ht="14.2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row>
    <row r="355" ht="14.2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row>
    <row r="356" ht="14.2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row>
    <row r="357" ht="14.2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row>
    <row r="358" ht="14.2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row>
    <row r="359" ht="14.2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row>
    <row r="360" ht="14.2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row>
    <row r="361" ht="14.2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row>
    <row r="362" ht="14.2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row>
    <row r="363" ht="14.2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row>
    <row r="364" ht="14.2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row>
    <row r="365" ht="14.2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row>
    <row r="366" ht="14.2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row>
    <row r="367" ht="14.2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row>
    <row r="368" ht="14.2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row>
    <row r="369" ht="14.2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row>
    <row r="370" ht="14.2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row>
    <row r="371" ht="14.2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row>
    <row r="372" ht="14.2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row>
    <row r="373" ht="14.2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row>
    <row r="374" ht="14.2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row>
    <row r="375" ht="14.2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row>
    <row r="376" ht="14.2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row>
    <row r="377" ht="14.2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row>
    <row r="378" ht="14.2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row>
    <row r="379" ht="14.2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row>
    <row r="380" ht="14.2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row>
    <row r="381" ht="14.2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row>
    <row r="382" ht="14.2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row>
    <row r="383" ht="14.2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row>
    <row r="384" ht="14.2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row>
    <row r="385" ht="14.2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row>
    <row r="386" ht="14.2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row>
    <row r="387" ht="14.2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row>
    <row r="388" ht="14.2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row>
    <row r="389" ht="14.2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row>
    <row r="390" ht="14.2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row>
    <row r="391" ht="14.2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row>
    <row r="392" ht="14.2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row>
    <row r="393" ht="14.2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row>
    <row r="394" ht="14.2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row>
    <row r="395" ht="14.2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row>
    <row r="396" ht="14.2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row>
    <row r="397" ht="14.2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row>
    <row r="398" ht="14.2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row>
    <row r="399" ht="14.2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row>
    <row r="400" ht="14.2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row>
    <row r="401" ht="14.2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row>
    <row r="402" ht="14.2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row>
    <row r="403" ht="14.2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row>
    <row r="404" ht="14.2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row>
    <row r="405" ht="14.2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row>
    <row r="406" ht="14.2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row>
    <row r="407" ht="14.2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row>
    <row r="408" ht="14.2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row>
    <row r="409" ht="14.2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row>
    <row r="410" ht="14.2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row>
    <row r="411" ht="14.2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row>
    <row r="412" ht="14.2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row>
    <row r="413" ht="14.2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row>
    <row r="414" ht="14.2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row>
    <row r="415" ht="14.2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row>
    <row r="416" ht="14.2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row>
    <row r="417" ht="14.2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row>
    <row r="418" ht="14.2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row>
    <row r="419" ht="14.2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row>
    <row r="420" ht="14.2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row>
    <row r="421" ht="14.2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row>
    <row r="422" ht="14.2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row>
    <row r="423" ht="14.2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row>
    <row r="424" ht="14.2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row>
    <row r="425" ht="14.2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row>
    <row r="426" ht="14.2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row>
    <row r="427" ht="14.2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row>
    <row r="428" ht="14.2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row>
    <row r="429" ht="14.2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row>
    <row r="430" ht="14.2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row>
    <row r="431" ht="14.2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row>
    <row r="432" ht="14.2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row>
    <row r="433" ht="14.2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row>
    <row r="434" ht="14.2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row>
    <row r="435" ht="14.2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row>
    <row r="436" ht="14.2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row>
    <row r="437" ht="14.2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row>
    <row r="438" ht="14.2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row>
    <row r="439" ht="14.2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row>
    <row r="440" ht="14.2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row>
    <row r="441" ht="14.2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row>
    <row r="442" ht="14.2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row>
    <row r="443" ht="14.2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row>
    <row r="444" ht="14.2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row>
    <row r="445" ht="14.2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row>
    <row r="446" ht="14.2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row>
    <row r="447" ht="14.2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row>
    <row r="448" ht="14.2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row>
    <row r="449" ht="14.2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row>
    <row r="450" ht="14.2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row>
    <row r="451" ht="14.2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row>
    <row r="452" ht="14.2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row>
    <row r="453" ht="14.2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row>
    <row r="454" ht="14.2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row>
    <row r="455" ht="14.2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row>
    <row r="456" ht="14.2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row>
    <row r="457" ht="14.2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row>
    <row r="458" ht="14.2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row>
    <row r="459" ht="14.2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row>
    <row r="460" ht="14.2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row>
    <row r="461" ht="14.2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row>
    <row r="462" ht="14.2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row>
    <row r="463" ht="14.2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row>
    <row r="464" ht="14.2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row>
    <row r="465" ht="14.2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row>
    <row r="466" ht="14.2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row>
    <row r="467" ht="14.2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row>
    <row r="468" ht="14.2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row>
    <row r="469" ht="14.2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row>
    <row r="470" ht="14.2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row>
    <row r="471" ht="14.2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row>
    <row r="472" ht="14.2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row>
    <row r="473" ht="14.2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row>
    <row r="474" ht="14.2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row>
    <row r="475" ht="14.2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row>
    <row r="476" ht="14.2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row>
    <row r="477" ht="14.2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row>
    <row r="478" ht="14.2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row>
    <row r="479" ht="14.2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row>
    <row r="480" ht="14.2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row>
    <row r="481" ht="14.2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row>
    <row r="482" ht="14.2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row>
    <row r="483" ht="14.2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row>
    <row r="484" ht="14.2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row>
    <row r="485" ht="14.2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row>
    <row r="486" ht="14.2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row>
    <row r="487" ht="14.2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row>
    <row r="488" ht="14.2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row>
    <row r="489" ht="14.2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row>
    <row r="490" ht="14.2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row>
    <row r="491" ht="14.2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row>
    <row r="492" ht="14.2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row>
    <row r="493" ht="14.2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row>
    <row r="494" ht="14.2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row>
    <row r="495" ht="14.2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row>
    <row r="496" ht="14.2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row>
    <row r="497" ht="14.2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row>
    <row r="498" ht="14.2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row>
    <row r="499" ht="14.2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row>
    <row r="500" ht="14.2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row>
    <row r="501" ht="14.2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row>
    <row r="502" ht="14.2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row>
    <row r="503" ht="14.2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row>
    <row r="504" ht="14.2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row>
    <row r="505" ht="14.2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row>
    <row r="506" ht="14.2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row>
    <row r="507" ht="14.2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row>
    <row r="508" ht="14.2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row>
    <row r="509" ht="14.2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row>
    <row r="510" ht="14.2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row>
    <row r="511" ht="14.2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row>
    <row r="512" ht="14.2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row>
    <row r="513" ht="14.2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row>
    <row r="514" ht="14.2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row>
    <row r="515" ht="14.2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row>
    <row r="516" ht="14.2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row>
    <row r="517" ht="14.2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row>
    <row r="518" ht="14.2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row>
    <row r="519" ht="14.2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row>
    <row r="520" ht="14.2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row>
    <row r="521" ht="14.2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row>
    <row r="522" ht="14.2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row>
    <row r="523" ht="14.2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row>
    <row r="524" ht="14.2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row>
    <row r="525" ht="14.2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row>
    <row r="526" ht="14.2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row>
    <row r="527" ht="14.2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row>
    <row r="528" ht="14.2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row>
    <row r="529" ht="14.2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row>
    <row r="530" ht="14.2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row>
    <row r="531" ht="14.2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row>
    <row r="532" ht="14.2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row>
    <row r="533" ht="14.2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row>
    <row r="534" ht="14.2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row>
    <row r="535" ht="14.2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row>
    <row r="536" ht="14.2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row>
    <row r="537" ht="14.2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c r="AH537" s="1"/>
    </row>
    <row r="538" ht="14.2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c r="AG538" s="1"/>
      <c r="AH538" s="1"/>
    </row>
    <row r="539" ht="14.2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c r="AG539" s="1"/>
      <c r="AH539" s="1"/>
    </row>
    <row r="540" ht="14.2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c r="AG540" s="1"/>
      <c r="AH540" s="1"/>
    </row>
    <row r="541" ht="14.2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c r="AG541" s="1"/>
      <c r="AH541" s="1"/>
    </row>
    <row r="542" ht="14.2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c r="AG542" s="1"/>
      <c r="AH542" s="1"/>
    </row>
    <row r="543" ht="14.2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c r="AG543" s="1"/>
      <c r="AH543" s="1"/>
    </row>
    <row r="544" ht="14.2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c r="AG544" s="1"/>
      <c r="AH544" s="1"/>
    </row>
    <row r="545" ht="14.2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c r="AG545" s="1"/>
      <c r="AH545" s="1"/>
    </row>
    <row r="546" ht="14.2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c r="AG546" s="1"/>
      <c r="AH546" s="1"/>
    </row>
    <row r="547" ht="14.2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c r="AG547" s="1"/>
      <c r="AH547" s="1"/>
    </row>
    <row r="548" ht="14.2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c r="AG548" s="1"/>
      <c r="AH548" s="1"/>
    </row>
    <row r="549" ht="14.2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c r="AG549" s="1"/>
      <c r="AH549" s="1"/>
    </row>
    <row r="550" ht="14.2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c r="AG550" s="1"/>
      <c r="AH550" s="1"/>
    </row>
    <row r="551" ht="14.2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c r="AG551" s="1"/>
      <c r="AH551" s="1"/>
    </row>
    <row r="552" ht="14.2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c r="AG552" s="1"/>
      <c r="AH552" s="1"/>
    </row>
    <row r="553" ht="14.2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c r="AG553" s="1"/>
      <c r="AH553" s="1"/>
    </row>
    <row r="554" ht="14.2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c r="AG554" s="1"/>
      <c r="AH554" s="1"/>
    </row>
    <row r="555" ht="14.2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c r="AG555" s="1"/>
      <c r="AH555" s="1"/>
    </row>
    <row r="556" ht="14.2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c r="AG556" s="1"/>
      <c r="AH556" s="1"/>
    </row>
    <row r="557" ht="14.2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c r="AG557" s="1"/>
      <c r="AH557" s="1"/>
    </row>
    <row r="558" ht="14.2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c r="AG558" s="1"/>
      <c r="AH558" s="1"/>
    </row>
    <row r="559" ht="14.2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c r="AG559" s="1"/>
      <c r="AH559" s="1"/>
    </row>
    <row r="560" ht="14.2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c r="AG560" s="1"/>
      <c r="AH560" s="1"/>
    </row>
    <row r="561" ht="14.2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c r="AG561" s="1"/>
      <c r="AH561" s="1"/>
    </row>
    <row r="562" ht="14.2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c r="AG562" s="1"/>
      <c r="AH562" s="1"/>
    </row>
    <row r="563" ht="14.2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c r="AG563" s="1"/>
      <c r="AH563" s="1"/>
    </row>
    <row r="564" ht="14.2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c r="AG564" s="1"/>
      <c r="AH564" s="1"/>
    </row>
    <row r="565" ht="14.2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c r="AG565" s="1"/>
      <c r="AH565" s="1"/>
    </row>
    <row r="566" ht="14.2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c r="AG566" s="1"/>
      <c r="AH566" s="1"/>
    </row>
    <row r="567" ht="14.2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c r="AG567" s="1"/>
      <c r="AH567" s="1"/>
    </row>
    <row r="568" ht="14.2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c r="AG568" s="1"/>
      <c r="AH568" s="1"/>
    </row>
    <row r="569" ht="14.2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c r="AG569" s="1"/>
      <c r="AH569" s="1"/>
    </row>
    <row r="570" ht="14.2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c r="AG570" s="1"/>
      <c r="AH570" s="1"/>
    </row>
    <row r="571" ht="14.2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c r="AG571" s="1"/>
      <c r="AH571" s="1"/>
    </row>
    <row r="572" ht="14.2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c r="AG572" s="1"/>
      <c r="AH572" s="1"/>
    </row>
    <row r="573" ht="14.2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c r="AG573" s="1"/>
      <c r="AH573" s="1"/>
    </row>
    <row r="574" ht="14.2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c r="AG574" s="1"/>
      <c r="AH574" s="1"/>
    </row>
    <row r="575" ht="14.2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c r="AG575" s="1"/>
      <c r="AH575" s="1"/>
    </row>
    <row r="576" ht="14.2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c r="AG576" s="1"/>
      <c r="AH576" s="1"/>
    </row>
    <row r="577" ht="14.2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c r="AG577" s="1"/>
      <c r="AH577" s="1"/>
    </row>
    <row r="578" ht="14.2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c r="AG578" s="1"/>
      <c r="AH578" s="1"/>
    </row>
    <row r="579" ht="14.2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c r="AG579" s="1"/>
      <c r="AH579" s="1"/>
    </row>
    <row r="580" ht="14.2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c r="AG580" s="1"/>
      <c r="AH580" s="1"/>
    </row>
    <row r="581" ht="14.2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c r="AG581" s="1"/>
      <c r="AH581" s="1"/>
    </row>
    <row r="582" ht="14.2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c r="AG582" s="1"/>
      <c r="AH582" s="1"/>
    </row>
    <row r="583" ht="14.2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c r="AG583" s="1"/>
      <c r="AH583" s="1"/>
    </row>
    <row r="584" ht="14.2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c r="AG584" s="1"/>
      <c r="AH584" s="1"/>
    </row>
    <row r="585" ht="14.2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c r="AG585" s="1"/>
      <c r="AH585" s="1"/>
    </row>
    <row r="586" ht="14.2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c r="AG586" s="1"/>
      <c r="AH586" s="1"/>
    </row>
    <row r="587" ht="14.2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c r="AG587" s="1"/>
      <c r="AH587" s="1"/>
    </row>
    <row r="588" ht="14.2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c r="AG588" s="1"/>
      <c r="AH588" s="1"/>
    </row>
    <row r="589" ht="14.2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c r="AG589" s="1"/>
      <c r="AH589" s="1"/>
    </row>
    <row r="590" ht="14.2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c r="AG590" s="1"/>
      <c r="AH590" s="1"/>
    </row>
    <row r="591" ht="14.2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c r="AG591" s="1"/>
      <c r="AH591" s="1"/>
    </row>
    <row r="592" ht="14.2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c r="AG592" s="1"/>
      <c r="AH592" s="1"/>
    </row>
    <row r="593" ht="14.2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c r="AG593" s="1"/>
      <c r="AH593" s="1"/>
    </row>
    <row r="594" ht="14.2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c r="AG594" s="1"/>
      <c r="AH594" s="1"/>
    </row>
    <row r="595" ht="14.2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c r="AG595" s="1"/>
      <c r="AH595" s="1"/>
    </row>
    <row r="596" ht="14.2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c r="AG596" s="1"/>
      <c r="AH596" s="1"/>
    </row>
    <row r="597" ht="14.2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c r="AG597" s="1"/>
      <c r="AH597" s="1"/>
    </row>
    <row r="598" ht="14.2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c r="AG598" s="1"/>
      <c r="AH598" s="1"/>
    </row>
    <row r="599" ht="14.2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c r="AG599" s="1"/>
      <c r="AH599" s="1"/>
    </row>
    <row r="600" ht="14.2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c r="AG600" s="1"/>
      <c r="AH600" s="1"/>
    </row>
    <row r="601" ht="14.2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c r="AG601" s="1"/>
      <c r="AH601" s="1"/>
    </row>
    <row r="602" ht="14.2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c r="AG602" s="1"/>
      <c r="AH602" s="1"/>
    </row>
    <row r="603" ht="14.2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c r="AG603" s="1"/>
      <c r="AH603" s="1"/>
    </row>
    <row r="604" ht="14.2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c r="AG604" s="1"/>
      <c r="AH604" s="1"/>
    </row>
    <row r="605" ht="14.2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c r="AG605" s="1"/>
      <c r="AH605" s="1"/>
    </row>
    <row r="606" ht="14.2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c r="AG606" s="1"/>
      <c r="AH606" s="1"/>
    </row>
    <row r="607" ht="14.2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c r="AG607" s="1"/>
      <c r="AH607" s="1"/>
    </row>
    <row r="608" ht="14.2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c r="AG608" s="1"/>
      <c r="AH608" s="1"/>
    </row>
    <row r="609" ht="14.2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c r="AG609" s="1"/>
      <c r="AH609" s="1"/>
    </row>
    <row r="610" ht="14.2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c r="AG610" s="1"/>
      <c r="AH610" s="1"/>
    </row>
    <row r="611" ht="14.2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c r="AG611" s="1"/>
      <c r="AH611" s="1"/>
    </row>
    <row r="612" ht="14.2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c r="AG612" s="1"/>
      <c r="AH612" s="1"/>
    </row>
    <row r="613" ht="14.2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c r="AG613" s="1"/>
      <c r="AH613" s="1"/>
    </row>
    <row r="614" ht="14.2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c r="AG614" s="1"/>
      <c r="AH614" s="1"/>
    </row>
    <row r="615" ht="14.2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c r="AG615" s="1"/>
      <c r="AH615" s="1"/>
    </row>
    <row r="616" ht="14.2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c r="AG616" s="1"/>
      <c r="AH616" s="1"/>
    </row>
    <row r="617" ht="14.2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c r="AG617" s="1"/>
      <c r="AH617" s="1"/>
    </row>
    <row r="618" ht="14.2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c r="AG618" s="1"/>
      <c r="AH618" s="1"/>
    </row>
    <row r="619" ht="14.2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c r="AG619" s="1"/>
      <c r="AH619" s="1"/>
    </row>
    <row r="620" ht="14.2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c r="AG620" s="1"/>
      <c r="AH620" s="1"/>
    </row>
    <row r="621" ht="14.2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c r="AG621" s="1"/>
      <c r="AH621" s="1"/>
    </row>
    <row r="622" ht="14.2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c r="AG622" s="1"/>
      <c r="AH622" s="1"/>
    </row>
    <row r="623" ht="14.2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c r="AG623" s="1"/>
      <c r="AH623" s="1"/>
    </row>
    <row r="624" ht="14.2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c r="AG624" s="1"/>
      <c r="AH624" s="1"/>
    </row>
    <row r="625" ht="14.2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c r="AG625" s="1"/>
      <c r="AH625" s="1"/>
    </row>
    <row r="626" ht="14.2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c r="AG626" s="1"/>
      <c r="AH626" s="1"/>
    </row>
    <row r="627" ht="14.2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c r="AG627" s="1"/>
      <c r="AH627" s="1"/>
    </row>
    <row r="628" ht="14.2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c r="AG628" s="1"/>
      <c r="AH628" s="1"/>
    </row>
    <row r="629" ht="14.2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c r="AG629" s="1"/>
      <c r="AH629" s="1"/>
    </row>
    <row r="630" ht="14.2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c r="AG630" s="1"/>
      <c r="AH630" s="1"/>
    </row>
    <row r="631" ht="14.2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c r="AG631" s="1"/>
      <c r="AH631" s="1"/>
    </row>
    <row r="632" ht="14.2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c r="AG632" s="1"/>
      <c r="AH632" s="1"/>
    </row>
    <row r="633" ht="14.2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c r="AG633" s="1"/>
      <c r="AH633" s="1"/>
    </row>
    <row r="634" ht="14.2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c r="AG634" s="1"/>
      <c r="AH634" s="1"/>
    </row>
    <row r="635" ht="14.2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c r="AG635" s="1"/>
      <c r="AH635" s="1"/>
    </row>
    <row r="636" ht="14.2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c r="AG636" s="1"/>
      <c r="AH636" s="1"/>
    </row>
    <row r="637" ht="14.2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c r="AG637" s="1"/>
      <c r="AH637" s="1"/>
    </row>
    <row r="638" ht="14.2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c r="AG638" s="1"/>
      <c r="AH638" s="1"/>
    </row>
    <row r="639" ht="14.2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c r="AG639" s="1"/>
      <c r="AH639" s="1"/>
    </row>
    <row r="640" ht="14.2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c r="AG640" s="1"/>
      <c r="AH640" s="1"/>
    </row>
    <row r="641" ht="14.2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c r="AG641" s="1"/>
      <c r="AH641" s="1"/>
    </row>
    <row r="642" ht="14.2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c r="AG642" s="1"/>
      <c r="AH642" s="1"/>
    </row>
    <row r="643" ht="14.2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c r="AG643" s="1"/>
      <c r="AH643" s="1"/>
    </row>
    <row r="644" ht="14.2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c r="AG644" s="1"/>
      <c r="AH644" s="1"/>
    </row>
    <row r="645" ht="14.2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c r="AG645" s="1"/>
      <c r="AH645" s="1"/>
    </row>
    <row r="646" ht="14.2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c r="AG646" s="1"/>
      <c r="AH646" s="1"/>
    </row>
    <row r="647" ht="14.2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c r="AG647" s="1"/>
      <c r="AH647" s="1"/>
    </row>
    <row r="648" ht="14.2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c r="AG648" s="1"/>
      <c r="AH648" s="1"/>
    </row>
    <row r="649" ht="14.2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c r="AG649" s="1"/>
      <c r="AH649" s="1"/>
    </row>
    <row r="650" ht="14.2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c r="AG650" s="1"/>
      <c r="AH650" s="1"/>
    </row>
    <row r="651" ht="14.2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c r="AG651" s="1"/>
      <c r="AH651" s="1"/>
    </row>
    <row r="652" ht="14.2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c r="AG652" s="1"/>
      <c r="AH652" s="1"/>
    </row>
    <row r="653" ht="14.2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c r="AG653" s="1"/>
      <c r="AH653" s="1"/>
    </row>
    <row r="654" ht="14.2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c r="AG654" s="1"/>
      <c r="AH654" s="1"/>
    </row>
    <row r="655" ht="14.2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c r="AG655" s="1"/>
      <c r="AH655" s="1"/>
    </row>
    <row r="656" ht="14.2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c r="AG656" s="1"/>
      <c r="AH656" s="1"/>
    </row>
    <row r="657" ht="14.2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c r="AG657" s="1"/>
      <c r="AH657" s="1"/>
    </row>
    <row r="658" ht="14.2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c r="AG658" s="1"/>
      <c r="AH658" s="1"/>
    </row>
    <row r="659" ht="14.2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c r="AG659" s="1"/>
      <c r="AH659" s="1"/>
    </row>
    <row r="660" ht="14.2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c r="AG660" s="1"/>
      <c r="AH660" s="1"/>
    </row>
    <row r="661" ht="14.2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c r="AG661" s="1"/>
      <c r="AH661" s="1"/>
    </row>
    <row r="662" ht="14.2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c r="AG662" s="1"/>
      <c r="AH662" s="1"/>
    </row>
    <row r="663" ht="14.2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c r="AG663" s="1"/>
      <c r="AH663" s="1"/>
    </row>
    <row r="664" ht="14.2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c r="AG664" s="1"/>
      <c r="AH664" s="1"/>
    </row>
    <row r="665" ht="14.2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c r="AG665" s="1"/>
      <c r="AH665" s="1"/>
    </row>
    <row r="666" ht="14.2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c r="AG666" s="1"/>
      <c r="AH666" s="1"/>
    </row>
    <row r="667" ht="14.2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c r="AG667" s="1"/>
      <c r="AH667" s="1"/>
    </row>
    <row r="668" ht="14.2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c r="AG668" s="1"/>
      <c r="AH668" s="1"/>
    </row>
    <row r="669" ht="14.2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c r="AG669" s="1"/>
      <c r="AH669" s="1"/>
    </row>
    <row r="670" ht="14.2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c r="AG670" s="1"/>
      <c r="AH670" s="1"/>
    </row>
    <row r="671" ht="14.2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c r="AG671" s="1"/>
      <c r="AH671" s="1"/>
    </row>
    <row r="672" ht="14.2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c r="AG672" s="1"/>
      <c r="AH672" s="1"/>
    </row>
    <row r="673" ht="14.2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c r="AG673" s="1"/>
      <c r="AH673" s="1"/>
    </row>
    <row r="674" ht="14.2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c r="AG674" s="1"/>
      <c r="AH674" s="1"/>
    </row>
    <row r="675" ht="14.2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c r="AG675" s="1"/>
      <c r="AH675" s="1"/>
    </row>
    <row r="676" ht="14.2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c r="AG676" s="1"/>
      <c r="AH676" s="1"/>
    </row>
    <row r="677" ht="14.2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c r="AG677" s="1"/>
      <c r="AH677" s="1"/>
    </row>
    <row r="678" ht="14.2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c r="AG678" s="1"/>
      <c r="AH678" s="1"/>
    </row>
    <row r="679" ht="14.2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c r="AG679" s="1"/>
      <c r="AH679" s="1"/>
    </row>
    <row r="680" ht="14.2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c r="AG680" s="1"/>
      <c r="AH680" s="1"/>
    </row>
    <row r="681" ht="14.2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c r="AG681" s="1"/>
      <c r="AH681" s="1"/>
    </row>
    <row r="682" ht="14.2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c r="AG682" s="1"/>
      <c r="AH682" s="1"/>
    </row>
    <row r="683" ht="14.2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c r="AG683" s="1"/>
      <c r="AH683" s="1"/>
    </row>
    <row r="684" ht="14.2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c r="AG684" s="1"/>
      <c r="AH684" s="1"/>
    </row>
    <row r="685" ht="14.2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c r="AG685" s="1"/>
      <c r="AH685" s="1"/>
    </row>
    <row r="686" ht="14.2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c r="AG686" s="1"/>
      <c r="AH686" s="1"/>
    </row>
    <row r="687" ht="14.2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c r="AG687" s="1"/>
      <c r="AH687" s="1"/>
    </row>
    <row r="688" ht="14.2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c r="AG688" s="1"/>
      <c r="AH688" s="1"/>
    </row>
    <row r="689" ht="14.2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c r="AG689" s="1"/>
      <c r="AH689" s="1"/>
    </row>
    <row r="690" ht="14.2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c r="AG690" s="1"/>
      <c r="AH690" s="1"/>
    </row>
    <row r="691" ht="14.2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c r="AG691" s="1"/>
      <c r="AH691" s="1"/>
    </row>
    <row r="692" ht="14.2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c r="AG692" s="1"/>
      <c r="AH692" s="1"/>
    </row>
    <row r="693" ht="14.2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c r="AG693" s="1"/>
      <c r="AH693" s="1"/>
    </row>
    <row r="694" ht="14.2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c r="AG694" s="1"/>
      <c r="AH694" s="1"/>
    </row>
    <row r="695" ht="14.2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c r="AG695" s="1"/>
      <c r="AH695" s="1"/>
    </row>
    <row r="696" ht="14.2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c r="AG696" s="1"/>
      <c r="AH696" s="1"/>
    </row>
    <row r="697" ht="14.2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c r="AG697" s="1"/>
      <c r="AH697" s="1"/>
    </row>
    <row r="698" ht="14.2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c r="AG698" s="1"/>
      <c r="AH698" s="1"/>
    </row>
    <row r="699" ht="14.2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c r="AG699" s="1"/>
      <c r="AH699" s="1"/>
    </row>
    <row r="700" ht="14.2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c r="AG700" s="1"/>
      <c r="AH700" s="1"/>
    </row>
    <row r="701" ht="14.2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c r="AG701" s="1"/>
      <c r="AH701" s="1"/>
    </row>
    <row r="702" ht="14.2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c r="AG702" s="1"/>
      <c r="AH702" s="1"/>
    </row>
    <row r="703" ht="14.2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c r="AG703" s="1"/>
      <c r="AH703" s="1"/>
    </row>
    <row r="704" ht="14.2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c r="AG704" s="1"/>
      <c r="AH704" s="1"/>
    </row>
    <row r="705" ht="14.2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c r="AG705" s="1"/>
      <c r="AH705" s="1"/>
    </row>
    <row r="706" ht="14.2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c r="AG706" s="1"/>
      <c r="AH706" s="1"/>
    </row>
    <row r="707" ht="14.2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c r="AG707" s="1"/>
      <c r="AH707" s="1"/>
    </row>
    <row r="708" ht="14.2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c r="AG708" s="1"/>
      <c r="AH708" s="1"/>
    </row>
    <row r="709" ht="14.2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c r="AG709" s="1"/>
      <c r="AH709" s="1"/>
    </row>
    <row r="710" ht="14.2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c r="AG710" s="1"/>
      <c r="AH710" s="1"/>
    </row>
    <row r="711" ht="14.2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c r="AG711" s="1"/>
      <c r="AH711" s="1"/>
    </row>
    <row r="712" ht="14.2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c r="AG712" s="1"/>
      <c r="AH712" s="1"/>
    </row>
    <row r="713" ht="14.2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c r="AG713" s="1"/>
      <c r="AH713" s="1"/>
    </row>
    <row r="714" ht="14.2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c r="AG714" s="1"/>
      <c r="AH714" s="1"/>
    </row>
    <row r="715" ht="14.2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c r="AG715" s="1"/>
      <c r="AH715" s="1"/>
    </row>
    <row r="716" ht="14.2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c r="AG716" s="1"/>
      <c r="AH716" s="1"/>
    </row>
    <row r="717" ht="14.2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c r="AG717" s="1"/>
      <c r="AH717" s="1"/>
    </row>
    <row r="718" ht="14.2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c r="AG718" s="1"/>
      <c r="AH718" s="1"/>
    </row>
    <row r="719" ht="14.2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c r="AG719" s="1"/>
      <c r="AH719" s="1"/>
    </row>
    <row r="720" ht="14.2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c r="AG720" s="1"/>
      <c r="AH720" s="1"/>
    </row>
    <row r="721" ht="14.2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c r="AG721" s="1"/>
      <c r="AH721" s="1"/>
    </row>
    <row r="722" ht="14.2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c r="AG722" s="1"/>
      <c r="AH722" s="1"/>
    </row>
    <row r="723" ht="14.2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c r="AG723" s="1"/>
      <c r="AH723" s="1"/>
    </row>
    <row r="724" ht="14.2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c r="AG724" s="1"/>
      <c r="AH724" s="1"/>
    </row>
    <row r="725" ht="14.2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c r="AG725" s="1"/>
      <c r="AH725" s="1"/>
    </row>
    <row r="726" ht="14.2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c r="AG726" s="1"/>
      <c r="AH726" s="1"/>
    </row>
    <row r="727" ht="14.2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c r="AG727" s="1"/>
      <c r="AH727" s="1"/>
    </row>
    <row r="728" ht="14.2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c r="AG728" s="1"/>
      <c r="AH728" s="1"/>
    </row>
    <row r="729" ht="14.2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c r="AG729" s="1"/>
      <c r="AH729" s="1"/>
    </row>
    <row r="730" ht="14.2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c r="AG730" s="1"/>
      <c r="AH730" s="1"/>
    </row>
    <row r="731" ht="14.2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c r="AG731" s="1"/>
      <c r="AH731" s="1"/>
    </row>
    <row r="732" ht="14.2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c r="AG732" s="1"/>
      <c r="AH732" s="1"/>
    </row>
    <row r="733" ht="14.2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c r="AG733" s="1"/>
      <c r="AH733" s="1"/>
    </row>
    <row r="734" ht="14.2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c r="AG734" s="1"/>
      <c r="AH734" s="1"/>
    </row>
    <row r="735" ht="14.2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c r="AG735" s="1"/>
      <c r="AH735" s="1"/>
    </row>
    <row r="736" ht="14.2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c r="AG736" s="1"/>
      <c r="AH736" s="1"/>
    </row>
    <row r="737" ht="14.2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c r="AG737" s="1"/>
      <c r="AH737" s="1"/>
    </row>
    <row r="738" ht="14.2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c r="AG738" s="1"/>
      <c r="AH738" s="1"/>
    </row>
    <row r="739" ht="14.2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c r="AG739" s="1"/>
      <c r="AH739" s="1"/>
    </row>
    <row r="740" ht="14.2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c r="AG740" s="1"/>
      <c r="AH740" s="1"/>
    </row>
    <row r="741" ht="14.2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c r="AG741" s="1"/>
      <c r="AH741" s="1"/>
    </row>
    <row r="742" ht="14.2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c r="AG742" s="1"/>
      <c r="AH742" s="1"/>
    </row>
    <row r="743" ht="14.2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c r="AG743" s="1"/>
      <c r="AH743" s="1"/>
    </row>
    <row r="744" ht="14.2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c r="AG744" s="1"/>
      <c r="AH744" s="1"/>
    </row>
    <row r="745" ht="14.2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c r="AG745" s="1"/>
      <c r="AH745" s="1"/>
    </row>
    <row r="746" ht="14.2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c r="AG746" s="1"/>
      <c r="AH746" s="1"/>
    </row>
    <row r="747" ht="14.2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c r="AG747" s="1"/>
      <c r="AH747" s="1"/>
    </row>
    <row r="748" ht="14.2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c r="AG748" s="1"/>
      <c r="AH748" s="1"/>
    </row>
    <row r="749" ht="14.2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c r="AG749" s="1"/>
      <c r="AH749" s="1"/>
    </row>
    <row r="750" ht="14.2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c r="AG750" s="1"/>
      <c r="AH750" s="1"/>
    </row>
    <row r="751" ht="14.2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c r="AG751" s="1"/>
      <c r="AH751" s="1"/>
    </row>
    <row r="752" ht="14.2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c r="AG752" s="1"/>
      <c r="AH752" s="1"/>
    </row>
    <row r="753" ht="14.2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c r="AG753" s="1"/>
      <c r="AH753" s="1"/>
    </row>
    <row r="754" ht="14.2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c r="AG754" s="1"/>
      <c r="AH754" s="1"/>
    </row>
    <row r="755" ht="14.2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c r="AG755" s="1"/>
      <c r="AH755" s="1"/>
    </row>
    <row r="756" ht="14.2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c r="AG756" s="1"/>
      <c r="AH756" s="1"/>
    </row>
    <row r="757" ht="14.2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c r="AG757" s="1"/>
      <c r="AH757" s="1"/>
    </row>
    <row r="758" ht="14.2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c r="AG758" s="1"/>
      <c r="AH758" s="1"/>
    </row>
    <row r="759" ht="14.2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c r="AG759" s="1"/>
      <c r="AH759" s="1"/>
    </row>
    <row r="760" ht="14.2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c r="AG760" s="1"/>
      <c r="AH760" s="1"/>
    </row>
    <row r="761" ht="14.2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c r="AG761" s="1"/>
      <c r="AH761" s="1"/>
    </row>
    <row r="762" ht="14.2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c r="AG762" s="1"/>
      <c r="AH762" s="1"/>
    </row>
    <row r="763" ht="14.2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c r="AG763" s="1"/>
      <c r="AH763" s="1"/>
    </row>
    <row r="764" ht="14.2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c r="AG764" s="1"/>
      <c r="AH764" s="1"/>
    </row>
    <row r="765" ht="14.2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c r="AG765" s="1"/>
      <c r="AH765" s="1"/>
    </row>
    <row r="766" ht="14.2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c r="AG766" s="1"/>
      <c r="AH766" s="1"/>
    </row>
    <row r="767" ht="14.2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c r="AG767" s="1"/>
      <c r="AH767" s="1"/>
    </row>
    <row r="768" ht="14.2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c r="AG768" s="1"/>
      <c r="AH768" s="1"/>
    </row>
    <row r="769" ht="14.2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c r="AG769" s="1"/>
      <c r="AH769" s="1"/>
    </row>
    <row r="770" ht="14.2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c r="AG770" s="1"/>
      <c r="AH770" s="1"/>
    </row>
    <row r="771" ht="14.2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c r="AG771" s="1"/>
      <c r="AH771" s="1"/>
    </row>
    <row r="772" ht="14.2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c r="AG772" s="1"/>
      <c r="AH772" s="1"/>
    </row>
    <row r="773" ht="14.2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c r="AG773" s="1"/>
      <c r="AH773" s="1"/>
    </row>
    <row r="774" ht="14.2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c r="AG774" s="1"/>
      <c r="AH774" s="1"/>
    </row>
    <row r="775" ht="14.2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c r="AG775" s="1"/>
      <c r="AH775" s="1"/>
    </row>
    <row r="776" ht="14.2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c r="AG776" s="1"/>
      <c r="AH776" s="1"/>
    </row>
    <row r="777" ht="14.2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c r="AG777" s="1"/>
      <c r="AH777" s="1"/>
    </row>
    <row r="778" ht="14.2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c r="AG778" s="1"/>
      <c r="AH778" s="1"/>
    </row>
    <row r="779" ht="14.2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c r="AG779" s="1"/>
      <c r="AH779" s="1"/>
    </row>
    <row r="780" ht="14.2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c r="AG780" s="1"/>
      <c r="AH780" s="1"/>
    </row>
    <row r="781" ht="14.2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c r="AG781" s="1"/>
      <c r="AH781" s="1"/>
    </row>
    <row r="782" ht="14.2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c r="AG782" s="1"/>
      <c r="AH782" s="1"/>
    </row>
    <row r="783" ht="14.2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c r="AG783" s="1"/>
      <c r="AH783" s="1"/>
    </row>
    <row r="784" ht="14.2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c r="AG784" s="1"/>
      <c r="AH784" s="1"/>
    </row>
    <row r="785" ht="14.2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c r="AG785" s="1"/>
      <c r="AH785" s="1"/>
    </row>
    <row r="786" ht="14.2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c r="AG786" s="1"/>
      <c r="AH786" s="1"/>
    </row>
    <row r="787" ht="14.2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c r="AG787" s="1"/>
      <c r="AH787" s="1"/>
    </row>
    <row r="788" ht="14.2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c r="AG788" s="1"/>
      <c r="AH788" s="1"/>
    </row>
    <row r="789" ht="14.2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c r="AG789" s="1"/>
      <c r="AH789" s="1"/>
    </row>
    <row r="790" ht="14.2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c r="AG790" s="1"/>
      <c r="AH790" s="1"/>
    </row>
    <row r="791" ht="14.2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c r="AG791" s="1"/>
      <c r="AH791" s="1"/>
    </row>
    <row r="792" ht="14.2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c r="AG792" s="1"/>
      <c r="AH792" s="1"/>
    </row>
    <row r="793" ht="14.2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c r="AG793" s="1"/>
      <c r="AH793" s="1"/>
    </row>
    <row r="794" ht="14.2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c r="AG794" s="1"/>
      <c r="AH794" s="1"/>
    </row>
    <row r="795" ht="14.2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c r="AG795" s="1"/>
      <c r="AH795" s="1"/>
    </row>
    <row r="796" ht="14.2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c r="AG796" s="1"/>
      <c r="AH796" s="1"/>
    </row>
    <row r="797" ht="14.2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c r="AG797" s="1"/>
      <c r="AH797" s="1"/>
    </row>
    <row r="798" ht="14.2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c r="AG798" s="1"/>
      <c r="AH798" s="1"/>
    </row>
    <row r="799" ht="14.2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c r="AG799" s="1"/>
      <c r="AH799" s="1"/>
    </row>
    <row r="800" ht="14.2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c r="AG800" s="1"/>
      <c r="AH800" s="1"/>
    </row>
    <row r="801" ht="14.2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c r="AG801" s="1"/>
      <c r="AH801" s="1"/>
    </row>
    <row r="802" ht="14.2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c r="AG802" s="1"/>
      <c r="AH802" s="1"/>
    </row>
    <row r="803" ht="14.2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c r="AG803" s="1"/>
      <c r="AH803" s="1"/>
    </row>
    <row r="804" ht="14.2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c r="AG804" s="1"/>
      <c r="AH804" s="1"/>
    </row>
    <row r="805" ht="14.2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c r="AG805" s="1"/>
      <c r="AH805" s="1"/>
    </row>
    <row r="806" ht="14.2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c r="AG806" s="1"/>
      <c r="AH806" s="1"/>
    </row>
    <row r="807" ht="14.2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c r="AG807" s="1"/>
      <c r="AH807" s="1"/>
    </row>
    <row r="808" ht="14.2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c r="AG808" s="1"/>
      <c r="AH808" s="1"/>
    </row>
    <row r="809" ht="14.2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c r="AG809" s="1"/>
      <c r="AH809" s="1"/>
    </row>
    <row r="810" ht="14.2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c r="AG810" s="1"/>
      <c r="AH810" s="1"/>
    </row>
    <row r="811" ht="14.2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c r="AG811" s="1"/>
      <c r="AH811" s="1"/>
    </row>
    <row r="812" ht="14.2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c r="AG812" s="1"/>
      <c r="AH812" s="1"/>
    </row>
    <row r="813" ht="14.2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c r="AG813" s="1"/>
      <c r="AH813" s="1"/>
    </row>
    <row r="814" ht="14.2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c r="AG814" s="1"/>
      <c r="AH814" s="1"/>
    </row>
    <row r="815" ht="14.2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c r="AG815" s="1"/>
      <c r="AH815" s="1"/>
    </row>
    <row r="816" ht="14.2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c r="AG816" s="1"/>
      <c r="AH816" s="1"/>
    </row>
    <row r="817" ht="14.2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c r="AG817" s="1"/>
      <c r="AH817" s="1"/>
    </row>
    <row r="818" ht="14.2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c r="AG818" s="1"/>
      <c r="AH818" s="1"/>
    </row>
    <row r="819" ht="14.2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c r="AG819" s="1"/>
      <c r="AH819" s="1"/>
    </row>
    <row r="820" ht="14.2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c r="AG820" s="1"/>
      <c r="AH820" s="1"/>
    </row>
    <row r="821" ht="14.2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c r="AG821" s="1"/>
      <c r="AH821" s="1"/>
    </row>
    <row r="822" ht="14.2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c r="AG822" s="1"/>
      <c r="AH822" s="1"/>
    </row>
    <row r="823" ht="14.2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c r="AG823" s="1"/>
      <c r="AH823" s="1"/>
    </row>
    <row r="824" ht="14.2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c r="AG824" s="1"/>
      <c r="AH824" s="1"/>
    </row>
    <row r="825" ht="14.2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c r="AG825" s="1"/>
      <c r="AH825" s="1"/>
    </row>
    <row r="826" ht="14.2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c r="AG826" s="1"/>
      <c r="AH826" s="1"/>
    </row>
    <row r="827" ht="14.2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c r="AG827" s="1"/>
      <c r="AH827" s="1"/>
    </row>
    <row r="828" ht="14.2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c r="AG828" s="1"/>
      <c r="AH828" s="1"/>
    </row>
    <row r="829" ht="14.2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c r="AG829" s="1"/>
      <c r="AH829" s="1"/>
    </row>
    <row r="830" ht="14.2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c r="AG830" s="1"/>
      <c r="AH830" s="1"/>
    </row>
    <row r="831" ht="14.2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c r="AG831" s="1"/>
      <c r="AH831" s="1"/>
    </row>
    <row r="832" ht="14.2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c r="AG832" s="1"/>
      <c r="AH832" s="1"/>
    </row>
    <row r="833" ht="14.2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c r="AG833" s="1"/>
      <c r="AH833" s="1"/>
    </row>
    <row r="834" ht="14.2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c r="AG834" s="1"/>
      <c r="AH834" s="1"/>
    </row>
    <row r="835" ht="14.2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c r="AG835" s="1"/>
      <c r="AH835" s="1"/>
    </row>
    <row r="836" ht="14.2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c r="AG836" s="1"/>
      <c r="AH836" s="1"/>
    </row>
    <row r="837" ht="14.2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c r="AG837" s="1"/>
      <c r="AH837" s="1"/>
    </row>
    <row r="838" ht="14.2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c r="AG838" s="1"/>
      <c r="AH838" s="1"/>
    </row>
    <row r="839" ht="14.2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c r="AG839" s="1"/>
      <c r="AH839" s="1"/>
    </row>
    <row r="840" ht="14.2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c r="AG840" s="1"/>
      <c r="AH840" s="1"/>
    </row>
    <row r="841" ht="14.2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c r="AG841" s="1"/>
      <c r="AH841" s="1"/>
    </row>
    <row r="842" ht="14.2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c r="AG842" s="1"/>
      <c r="AH842" s="1"/>
    </row>
    <row r="843" ht="14.2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c r="AG843" s="1"/>
      <c r="AH843" s="1"/>
    </row>
    <row r="844" ht="14.2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c r="AG844" s="1"/>
      <c r="AH844" s="1"/>
    </row>
    <row r="845" ht="14.2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c r="AG845" s="1"/>
      <c r="AH845" s="1"/>
    </row>
    <row r="846" ht="14.2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c r="AG846" s="1"/>
      <c r="AH846" s="1"/>
    </row>
    <row r="847" ht="14.2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c r="AG847" s="1"/>
      <c r="AH847" s="1"/>
    </row>
    <row r="848" ht="14.2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c r="AG848" s="1"/>
      <c r="AH848" s="1"/>
    </row>
    <row r="849" ht="14.2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c r="AG849" s="1"/>
      <c r="AH849" s="1"/>
    </row>
    <row r="850" ht="14.2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c r="AG850" s="1"/>
      <c r="AH850" s="1"/>
    </row>
    <row r="851" ht="14.2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c r="AG851" s="1"/>
      <c r="AH851" s="1"/>
    </row>
    <row r="852" ht="14.2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c r="AG852" s="1"/>
      <c r="AH852" s="1"/>
    </row>
    <row r="853" ht="14.2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c r="AG853" s="1"/>
      <c r="AH853" s="1"/>
    </row>
    <row r="854" ht="14.2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c r="AG854" s="1"/>
      <c r="AH854" s="1"/>
    </row>
    <row r="855" ht="14.2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c r="AG855" s="1"/>
      <c r="AH855" s="1"/>
    </row>
    <row r="856" ht="14.2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c r="AG856" s="1"/>
      <c r="AH856" s="1"/>
    </row>
    <row r="857" ht="14.2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c r="AG857" s="1"/>
      <c r="AH857" s="1"/>
    </row>
    <row r="858" ht="14.2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c r="AG858" s="1"/>
      <c r="AH858" s="1"/>
    </row>
    <row r="859" ht="14.2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c r="AG859" s="1"/>
      <c r="AH859" s="1"/>
    </row>
    <row r="860" ht="14.2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c r="AG860" s="1"/>
      <c r="AH860" s="1"/>
    </row>
    <row r="861" ht="14.2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c r="AG861" s="1"/>
      <c r="AH861" s="1"/>
    </row>
    <row r="862" ht="14.2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c r="AG862" s="1"/>
      <c r="AH862" s="1"/>
    </row>
    <row r="863" ht="14.2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c r="AG863" s="1"/>
      <c r="AH863" s="1"/>
    </row>
    <row r="864" ht="14.2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c r="AG864" s="1"/>
      <c r="AH864" s="1"/>
    </row>
    <row r="865" ht="14.2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c r="AG865" s="1"/>
      <c r="AH865" s="1"/>
    </row>
    <row r="866" ht="14.2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c r="AG866" s="1"/>
      <c r="AH866" s="1"/>
    </row>
    <row r="867" ht="14.2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c r="AG867" s="1"/>
      <c r="AH867" s="1"/>
    </row>
    <row r="868" ht="14.2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c r="AG868" s="1"/>
      <c r="AH868" s="1"/>
    </row>
    <row r="869" ht="14.2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c r="AG869" s="1"/>
      <c r="AH869" s="1"/>
    </row>
    <row r="870" ht="14.2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c r="AG870" s="1"/>
      <c r="AH870" s="1"/>
    </row>
    <row r="871" ht="14.2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c r="AG871" s="1"/>
      <c r="AH871" s="1"/>
    </row>
    <row r="872" ht="14.2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c r="AG872" s="1"/>
      <c r="AH872" s="1"/>
    </row>
    <row r="873" ht="14.2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c r="AG873" s="1"/>
      <c r="AH873" s="1"/>
    </row>
    <row r="874" ht="14.2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c r="AG874" s="1"/>
      <c r="AH874" s="1"/>
    </row>
    <row r="875" ht="14.2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c r="AG875" s="1"/>
      <c r="AH875" s="1"/>
    </row>
    <row r="876" ht="14.2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c r="AG876" s="1"/>
      <c r="AH876" s="1"/>
    </row>
    <row r="877" ht="14.2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c r="AG877" s="1"/>
      <c r="AH877" s="1"/>
    </row>
    <row r="878" ht="14.2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c r="AG878" s="1"/>
      <c r="AH878" s="1"/>
    </row>
    <row r="879" ht="14.2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c r="AG879" s="1"/>
      <c r="AH879" s="1"/>
    </row>
    <row r="880" ht="14.2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c r="AG880" s="1"/>
      <c r="AH880" s="1"/>
    </row>
    <row r="881" ht="14.2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c r="AG881" s="1"/>
      <c r="AH881" s="1"/>
    </row>
    <row r="882" ht="14.2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c r="AG882" s="1"/>
      <c r="AH882" s="1"/>
    </row>
    <row r="883" ht="14.2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c r="AG883" s="1"/>
      <c r="AH883" s="1"/>
    </row>
    <row r="884" ht="14.2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c r="AG884" s="1"/>
      <c r="AH884" s="1"/>
    </row>
    <row r="885" ht="14.2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c r="AG885" s="1"/>
      <c r="AH885" s="1"/>
    </row>
    <row r="886" ht="14.2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c r="AG886" s="1"/>
      <c r="AH886" s="1"/>
    </row>
    <row r="887" ht="14.2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c r="AG887" s="1"/>
      <c r="AH887" s="1"/>
    </row>
    <row r="888" ht="14.2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c r="AG888" s="1"/>
      <c r="AH888" s="1"/>
    </row>
    <row r="889" ht="14.2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c r="AG889" s="1"/>
      <c r="AH889" s="1"/>
    </row>
    <row r="890" ht="14.2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c r="AG890" s="1"/>
      <c r="AH890" s="1"/>
    </row>
    <row r="891" ht="14.2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c r="AG891" s="1"/>
      <c r="AH891" s="1"/>
    </row>
    <row r="892" ht="14.2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c r="AG892" s="1"/>
      <c r="AH892" s="1"/>
    </row>
    <row r="893" ht="14.2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c r="AG893" s="1"/>
      <c r="AH893" s="1"/>
    </row>
    <row r="894" ht="14.2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c r="AG894" s="1"/>
      <c r="AH894" s="1"/>
    </row>
    <row r="895" ht="14.2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c r="AG895" s="1"/>
      <c r="AH895" s="1"/>
    </row>
    <row r="896" ht="14.2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c r="AG896" s="1"/>
      <c r="AH896" s="1"/>
    </row>
    <row r="897" ht="14.2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c r="AG897" s="1"/>
      <c r="AH897" s="1"/>
    </row>
    <row r="898" ht="14.2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c r="AG898" s="1"/>
      <c r="AH898" s="1"/>
    </row>
    <row r="899" ht="14.2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c r="AG899" s="1"/>
      <c r="AH899" s="1"/>
    </row>
    <row r="900" ht="14.2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c r="AG900" s="1"/>
      <c r="AH900" s="1"/>
    </row>
    <row r="901" ht="14.2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c r="AG901" s="1"/>
      <c r="AH901" s="1"/>
    </row>
    <row r="902" ht="14.2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c r="AG902" s="1"/>
      <c r="AH902" s="1"/>
    </row>
    <row r="903" ht="14.2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c r="AG903" s="1"/>
      <c r="AH903" s="1"/>
    </row>
    <row r="904" ht="14.2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c r="AG904" s="1"/>
      <c r="AH904" s="1"/>
    </row>
    <row r="905" ht="14.2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c r="AG905" s="1"/>
      <c r="AH905" s="1"/>
    </row>
    <row r="906" ht="14.2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c r="AG906" s="1"/>
      <c r="AH906" s="1"/>
    </row>
    <row r="907" ht="14.2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c r="AG907" s="1"/>
      <c r="AH907" s="1"/>
    </row>
    <row r="908" ht="14.2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c r="AG908" s="1"/>
      <c r="AH908" s="1"/>
    </row>
    <row r="909" ht="14.2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c r="AG909" s="1"/>
      <c r="AH909" s="1"/>
    </row>
    <row r="910" ht="14.2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c r="AG910" s="1"/>
      <c r="AH910" s="1"/>
    </row>
    <row r="911" ht="14.2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c r="AG911" s="1"/>
      <c r="AH911" s="1"/>
    </row>
    <row r="912" ht="14.2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c r="AG912" s="1"/>
      <c r="AH912" s="1"/>
    </row>
    <row r="913" ht="14.2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c r="AG913" s="1"/>
      <c r="AH913" s="1"/>
    </row>
    <row r="914" ht="14.2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c r="AG914" s="1"/>
      <c r="AH914" s="1"/>
    </row>
    <row r="915" ht="14.2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c r="AG915" s="1"/>
      <c r="AH915" s="1"/>
    </row>
    <row r="916" ht="14.2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c r="AG916" s="1"/>
      <c r="AH916" s="1"/>
    </row>
    <row r="917" ht="14.2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c r="AG917" s="1"/>
      <c r="AH917" s="1"/>
    </row>
    <row r="918" ht="14.2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c r="AG918" s="1"/>
      <c r="AH918" s="1"/>
    </row>
    <row r="919" ht="14.2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c r="AG919" s="1"/>
      <c r="AH919" s="1"/>
    </row>
    <row r="920" ht="14.2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c r="AG920" s="1"/>
      <c r="AH920" s="1"/>
    </row>
    <row r="921" ht="14.2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c r="AG921" s="1"/>
      <c r="AH921" s="1"/>
    </row>
    <row r="922" ht="14.2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c r="AG922" s="1"/>
      <c r="AH922" s="1"/>
    </row>
    <row r="923" ht="14.2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c r="AG923" s="1"/>
      <c r="AH923" s="1"/>
    </row>
    <row r="924" ht="14.2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c r="AG924" s="1"/>
      <c r="AH924" s="1"/>
    </row>
    <row r="925" ht="14.2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c r="AG925" s="1"/>
      <c r="AH925" s="1"/>
    </row>
    <row r="926" ht="14.2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c r="AG926" s="1"/>
      <c r="AH926" s="1"/>
    </row>
    <row r="927" ht="14.2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c r="AG927" s="1"/>
      <c r="AH927" s="1"/>
    </row>
    <row r="928" ht="14.2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c r="AG928" s="1"/>
      <c r="AH928" s="1"/>
    </row>
    <row r="929" ht="14.2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c r="AG929" s="1"/>
      <c r="AH929" s="1"/>
    </row>
    <row r="930" ht="14.2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c r="AG930" s="1"/>
      <c r="AH930" s="1"/>
    </row>
    <row r="931" ht="14.2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c r="AG931" s="1"/>
      <c r="AH931" s="1"/>
    </row>
    <row r="932" ht="14.2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c r="AG932" s="1"/>
      <c r="AH932" s="1"/>
    </row>
    <row r="933" ht="14.2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c r="AG933" s="1"/>
      <c r="AH933" s="1"/>
    </row>
    <row r="934" ht="14.2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c r="AG934" s="1"/>
      <c r="AH934" s="1"/>
    </row>
    <row r="935" ht="14.2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c r="AG935" s="1"/>
      <c r="AH935" s="1"/>
    </row>
    <row r="936" ht="14.2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c r="AG936" s="1"/>
      <c r="AH936" s="1"/>
    </row>
    <row r="937" ht="14.2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c r="AG937" s="1"/>
      <c r="AH937" s="1"/>
    </row>
    <row r="938" ht="14.2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c r="AG938" s="1"/>
      <c r="AH938" s="1"/>
    </row>
    <row r="939" ht="14.2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c r="AG939" s="1"/>
      <c r="AH939" s="1"/>
    </row>
    <row r="940" ht="14.2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c r="AG940" s="1"/>
      <c r="AH940" s="1"/>
    </row>
    <row r="941" ht="14.2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c r="AG941" s="1"/>
      <c r="AH941" s="1"/>
    </row>
    <row r="942" ht="14.2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c r="AG942" s="1"/>
      <c r="AH942" s="1"/>
    </row>
    <row r="943" ht="14.2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c r="AG943" s="1"/>
      <c r="AH943" s="1"/>
    </row>
    <row r="944" ht="14.2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c r="AG944" s="1"/>
      <c r="AH944" s="1"/>
    </row>
    <row r="945" ht="14.2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c r="AG945" s="1"/>
      <c r="AH945" s="1"/>
    </row>
    <row r="946" ht="14.2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c r="AG946" s="1"/>
      <c r="AH946" s="1"/>
    </row>
    <row r="947" ht="14.2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c r="AG947" s="1"/>
      <c r="AH947" s="1"/>
    </row>
    <row r="948" ht="14.2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c r="AG948" s="1"/>
      <c r="AH948" s="1"/>
    </row>
    <row r="949" ht="14.2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c r="AG949" s="1"/>
      <c r="AH949" s="1"/>
    </row>
    <row r="950" ht="14.2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c r="AG950" s="1"/>
      <c r="AH950" s="1"/>
    </row>
    <row r="951" ht="14.2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c r="AG951" s="1"/>
      <c r="AH951" s="1"/>
    </row>
    <row r="952" ht="14.2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c r="AG952" s="1"/>
      <c r="AH952" s="1"/>
    </row>
    <row r="953" ht="14.2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c r="AG953" s="1"/>
      <c r="AH953" s="1"/>
    </row>
    <row r="954" ht="14.2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c r="AG954" s="1"/>
      <c r="AH954" s="1"/>
    </row>
    <row r="955" ht="14.2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c r="AG955" s="1"/>
      <c r="AH955" s="1"/>
    </row>
    <row r="956" ht="14.2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c r="AG956" s="1"/>
      <c r="AH956" s="1"/>
    </row>
    <row r="957" ht="14.2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c r="AG957" s="1"/>
      <c r="AH957" s="1"/>
    </row>
    <row r="958" ht="14.2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c r="AG958" s="1"/>
      <c r="AH958" s="1"/>
    </row>
    <row r="959" ht="14.2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c r="AG959" s="1"/>
      <c r="AH959" s="1"/>
    </row>
    <row r="960" ht="14.2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c r="AG960" s="1"/>
      <c r="AH960" s="1"/>
    </row>
    <row r="961" ht="14.2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c r="AG961" s="1"/>
      <c r="AH961" s="1"/>
    </row>
    <row r="962" ht="14.2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c r="AG962" s="1"/>
      <c r="AH962" s="1"/>
    </row>
    <row r="963" ht="14.2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c r="AG963" s="1"/>
      <c r="AH963" s="1"/>
    </row>
    <row r="964" ht="14.2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c r="AG964" s="1"/>
      <c r="AH964" s="1"/>
    </row>
    <row r="965" ht="14.2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c r="AG965" s="1"/>
      <c r="AH965" s="1"/>
    </row>
    <row r="966" ht="14.2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c r="AG966" s="1"/>
      <c r="AH966" s="1"/>
    </row>
    <row r="967" ht="14.2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c r="AG967" s="1"/>
      <c r="AH967" s="1"/>
    </row>
    <row r="968" ht="14.2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c r="AG968" s="1"/>
      <c r="AH968" s="1"/>
    </row>
    <row r="969" ht="14.2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c r="AG969" s="1"/>
      <c r="AH969" s="1"/>
    </row>
    <row r="970" ht="14.2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c r="AC970" s="1"/>
      <c r="AD970" s="1"/>
      <c r="AE970" s="1"/>
      <c r="AF970" s="1"/>
      <c r="AG970" s="1"/>
      <c r="AH970" s="1"/>
    </row>
    <row r="971" ht="14.2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c r="AC971" s="1"/>
      <c r="AD971" s="1"/>
      <c r="AE971" s="1"/>
      <c r="AF971" s="1"/>
      <c r="AG971" s="1"/>
      <c r="AH971" s="1"/>
    </row>
    <row r="972" ht="14.2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c r="AC972" s="1"/>
      <c r="AD972" s="1"/>
      <c r="AE972" s="1"/>
      <c r="AF972" s="1"/>
      <c r="AG972" s="1"/>
      <c r="AH972" s="1"/>
    </row>
    <row r="973" ht="14.2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c r="AC973" s="1"/>
      <c r="AD973" s="1"/>
      <c r="AE973" s="1"/>
      <c r="AF973" s="1"/>
      <c r="AG973" s="1"/>
      <c r="AH973" s="1"/>
    </row>
    <row r="974" ht="14.2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c r="AC974" s="1"/>
      <c r="AD974" s="1"/>
      <c r="AE974" s="1"/>
      <c r="AF974" s="1"/>
      <c r="AG974" s="1"/>
      <c r="AH974" s="1"/>
    </row>
    <row r="975" ht="14.2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c r="AC975" s="1"/>
      <c r="AD975" s="1"/>
      <c r="AE975" s="1"/>
      <c r="AF975" s="1"/>
      <c r="AG975" s="1"/>
      <c r="AH975" s="1"/>
    </row>
    <row r="976" ht="14.2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c r="AC976" s="1"/>
      <c r="AD976" s="1"/>
      <c r="AE976" s="1"/>
      <c r="AF976" s="1"/>
      <c r="AG976" s="1"/>
      <c r="AH976" s="1"/>
    </row>
    <row r="977" ht="14.2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c r="AC977" s="1"/>
      <c r="AD977" s="1"/>
      <c r="AE977" s="1"/>
      <c r="AF977" s="1"/>
      <c r="AG977" s="1"/>
      <c r="AH977" s="1"/>
    </row>
    <row r="978" ht="14.2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c r="AC978" s="1"/>
      <c r="AD978" s="1"/>
      <c r="AE978" s="1"/>
      <c r="AF978" s="1"/>
      <c r="AG978" s="1"/>
      <c r="AH978" s="1"/>
    </row>
    <row r="979" ht="14.2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c r="AC979" s="1"/>
      <c r="AD979" s="1"/>
      <c r="AE979" s="1"/>
      <c r="AF979" s="1"/>
      <c r="AG979" s="1"/>
      <c r="AH979" s="1"/>
    </row>
    <row r="980" ht="14.2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c r="AC980" s="1"/>
      <c r="AD980" s="1"/>
      <c r="AE980" s="1"/>
      <c r="AF980" s="1"/>
      <c r="AG980" s="1"/>
      <c r="AH980" s="1"/>
    </row>
    <row r="981" ht="14.2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c r="AC981" s="1"/>
      <c r="AD981" s="1"/>
      <c r="AE981" s="1"/>
      <c r="AF981" s="1"/>
      <c r="AG981" s="1"/>
      <c r="AH981" s="1"/>
    </row>
    <row r="982" ht="14.2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c r="AC982" s="1"/>
      <c r="AD982" s="1"/>
      <c r="AE982" s="1"/>
      <c r="AF982" s="1"/>
      <c r="AG982" s="1"/>
      <c r="AH982" s="1"/>
    </row>
    <row r="983" ht="14.2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c r="AC983" s="1"/>
      <c r="AD983" s="1"/>
      <c r="AE983" s="1"/>
      <c r="AF983" s="1"/>
      <c r="AG983" s="1"/>
      <c r="AH983" s="1"/>
    </row>
    <row r="984" ht="14.2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c r="AC984" s="1"/>
      <c r="AD984" s="1"/>
      <c r="AE984" s="1"/>
      <c r="AF984" s="1"/>
      <c r="AG984" s="1"/>
      <c r="AH984" s="1"/>
    </row>
    <row r="985" ht="14.2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c r="AC985" s="1"/>
      <c r="AD985" s="1"/>
      <c r="AE985" s="1"/>
      <c r="AF985" s="1"/>
      <c r="AG985" s="1"/>
      <c r="AH985" s="1"/>
    </row>
    <row r="986" ht="14.2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c r="AC986" s="1"/>
      <c r="AD986" s="1"/>
      <c r="AE986" s="1"/>
      <c r="AF986" s="1"/>
      <c r="AG986" s="1"/>
      <c r="AH986" s="1"/>
    </row>
    <row r="987" ht="14.2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c r="AC987" s="1"/>
      <c r="AD987" s="1"/>
      <c r="AE987" s="1"/>
      <c r="AF987" s="1"/>
      <c r="AG987" s="1"/>
      <c r="AH987" s="1"/>
    </row>
    <row r="988" ht="14.2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c r="AC988" s="1"/>
      <c r="AD988" s="1"/>
      <c r="AE988" s="1"/>
      <c r="AF988" s="1"/>
      <c r="AG988" s="1"/>
      <c r="AH988" s="1"/>
    </row>
    <row r="989" ht="14.2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c r="AC989" s="1"/>
      <c r="AD989" s="1"/>
      <c r="AE989" s="1"/>
      <c r="AF989" s="1"/>
      <c r="AG989" s="1"/>
      <c r="AH989" s="1"/>
    </row>
    <row r="990" ht="14.2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c r="AC990" s="1"/>
      <c r="AD990" s="1"/>
      <c r="AE990" s="1"/>
      <c r="AF990" s="1"/>
      <c r="AG990" s="1"/>
      <c r="AH990" s="1"/>
    </row>
    <row r="991" ht="14.2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c r="AC991" s="1"/>
      <c r="AD991" s="1"/>
      <c r="AE991" s="1"/>
      <c r="AF991" s="1"/>
      <c r="AG991" s="1"/>
      <c r="AH991" s="1"/>
    </row>
    <row r="992" ht="14.2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c r="AC992" s="1"/>
      <c r="AD992" s="1"/>
      <c r="AE992" s="1"/>
      <c r="AF992" s="1"/>
      <c r="AG992" s="1"/>
      <c r="AH992" s="1"/>
    </row>
    <row r="993" ht="14.2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c r="AC993" s="1"/>
      <c r="AD993" s="1"/>
      <c r="AE993" s="1"/>
      <c r="AF993" s="1"/>
      <c r="AG993" s="1"/>
      <c r="AH993" s="1"/>
    </row>
    <row r="994" ht="14.2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c r="AC994" s="1"/>
      <c r="AD994" s="1"/>
      <c r="AE994" s="1"/>
      <c r="AF994" s="1"/>
      <c r="AG994" s="1"/>
      <c r="AH994" s="1"/>
    </row>
    <row r="995" ht="14.2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c r="AC995" s="1"/>
      <c r="AD995" s="1"/>
      <c r="AE995" s="1"/>
      <c r="AF995" s="1"/>
      <c r="AG995" s="1"/>
      <c r="AH995" s="1"/>
    </row>
    <row r="996" ht="14.2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c r="AA996" s="1"/>
      <c r="AB996" s="1"/>
      <c r="AC996" s="1"/>
      <c r="AD996" s="1"/>
      <c r="AE996" s="1"/>
      <c r="AF996" s="1"/>
      <c r="AG996" s="1"/>
      <c r="AH996" s="1"/>
    </row>
    <row r="997" ht="14.2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c r="AA997" s="1"/>
      <c r="AB997" s="1"/>
      <c r="AC997" s="1"/>
      <c r="AD997" s="1"/>
      <c r="AE997" s="1"/>
      <c r="AF997" s="1"/>
      <c r="AG997" s="1"/>
      <c r="AH997" s="1"/>
    </row>
    <row r="998" ht="14.2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c r="AA998" s="1"/>
      <c r="AB998" s="1"/>
      <c r="AC998" s="1"/>
      <c r="AD998" s="1"/>
      <c r="AE998" s="1"/>
      <c r="AF998" s="1"/>
      <c r="AG998" s="1"/>
      <c r="AH998" s="1"/>
    </row>
    <row r="999" ht="14.2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c r="AA999" s="1"/>
      <c r="AB999" s="1"/>
      <c r="AC999" s="1"/>
      <c r="AD999" s="1"/>
      <c r="AE999" s="1"/>
      <c r="AF999" s="1"/>
      <c r="AG999" s="1"/>
      <c r="AH999" s="1"/>
    </row>
    <row r="1000" ht="14.2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c r="AA1000" s="1"/>
      <c r="AB1000" s="1"/>
      <c r="AC1000" s="1"/>
      <c r="AD1000" s="1"/>
      <c r="AE1000" s="1"/>
      <c r="AF1000" s="1"/>
      <c r="AG1000" s="1"/>
      <c r="AH1000" s="1"/>
    </row>
  </sheetData>
  <dataValidations>
    <dataValidation type="list" allowBlank="1" showInputMessage="1" prompt="Warning - Please be sure to use the topic names listed in the topics_table tab, and separate multiple topics with a &quot; | &quot;. Add new topics to the 'topics_table' tab as needed." sqref="G2:G1000">
      <formula1>topics_table!$A$2:$A$1048576</formula1>
    </dataValidation>
    <dataValidation type="list" allowBlank="1" showErrorMessage="1" sqref="B2:B1000">
      <formula1>events_table!$B$2:$B$1048576</formula1>
    </dataValidation>
    <dataValidation type="list" allowBlank="1" showErrorMessage="1" sqref="A2:A1000">
      <formula1>events_table!$A$2:$A$1048576</formula1>
    </dataValidation>
    <dataValidation type="list" allowBlank="1" showInputMessage="1" prompt="Warning - Please be sure to use the award names listed in the awards_table tab, and separate multiple awards with a &quot; | &quot;. Add new awards to the 'awards_table' tab as needed." sqref="H2:H1000">
      <formula1>awards_table!$A$2:$A$1048576</formula1>
    </dataValidation>
  </dataValidations>
  <hyperlinks>
    <hyperlink r:id="rId2" ref="P2"/>
    <hyperlink r:id="rId3" ref="Q2"/>
    <hyperlink r:id="rId4" ref="R2"/>
    <hyperlink r:id="rId5" ref="S2"/>
    <hyperlink r:id="rId6" ref="T2"/>
    <hyperlink r:id="rId7" ref="U2"/>
    <hyperlink r:id="rId8" ref="P3"/>
    <hyperlink r:id="rId9" ref="Q3"/>
    <hyperlink r:id="rId10" ref="T3"/>
    <hyperlink r:id="rId11" ref="U3"/>
    <hyperlink r:id="rId12" ref="P4"/>
    <hyperlink r:id="rId13" ref="T4"/>
    <hyperlink r:id="rId14" ref="U4"/>
    <hyperlink r:id="rId15" location="!/vizhome/CaliforniaDams/Story1" ref="P5"/>
    <hyperlink r:id="rId16" ref="T5"/>
    <hyperlink r:id="rId17" ref="U5"/>
    <hyperlink r:id="rId18" ref="T6"/>
    <hyperlink r:id="rId19" ref="U6"/>
    <hyperlink r:id="rId20" ref="P7"/>
    <hyperlink r:id="rId21" ref="Q7"/>
    <hyperlink r:id="rId22" ref="T7"/>
    <hyperlink r:id="rId23" ref="U7"/>
    <hyperlink r:id="rId24" location="!/vizhome/DataChallengeFinal/Dashboard1" ref="P8"/>
    <hyperlink r:id="rId25" ref="T8"/>
    <hyperlink r:id="rId26" ref="T9"/>
    <hyperlink r:id="rId27" ref="U9"/>
    <hyperlink r:id="rId28" location="1" ref="P10"/>
    <hyperlink r:id="rId29" ref="U10"/>
    <hyperlink r:id="rId30" ref="U11"/>
    <hyperlink r:id="rId31" ref="F12"/>
    <hyperlink r:id="rId32" ref="U14"/>
    <hyperlink r:id="rId33" ref="Q15"/>
    <hyperlink r:id="rId34" ref="U15"/>
    <hyperlink r:id="rId35" ref="U16"/>
    <hyperlink r:id="rId36" ref="Q19"/>
    <hyperlink r:id="rId37" ref="U19"/>
    <hyperlink r:id="rId38" ref="P21"/>
    <hyperlink r:id="rId39" ref="U21"/>
    <hyperlink r:id="rId40" ref="U23"/>
    <hyperlink r:id="rId41" ref="C26"/>
    <hyperlink r:id="rId42" ref="P31"/>
    <hyperlink r:id="rId43" ref="U31"/>
    <hyperlink r:id="rId44" ref="U36"/>
    <hyperlink r:id="rId45" ref="U44"/>
    <hyperlink r:id="rId46" ref="P45"/>
    <hyperlink r:id="rId47" ref="U45"/>
  </hyperlinks>
  <printOptions/>
  <pageMargins bottom="0.75" footer="0.0" header="0.0" left="0.7" right="0.7" top="0.75"/>
  <pageSetup orientation="landscape"/>
  <drawing r:id="rId48"/>
  <legacyDrawing r:id="rId49"/>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5.57"/>
    <col customWidth="1" min="2" max="2" width="12.14"/>
    <col customWidth="1" min="3" max="3" width="120.43"/>
    <col customWidth="1" min="4" max="26" width="8.71"/>
  </cols>
  <sheetData>
    <row r="1" ht="14.25" customHeight="1">
      <c r="A1" s="19" t="s">
        <v>674</v>
      </c>
      <c r="B1" s="19" t="s">
        <v>675</v>
      </c>
      <c r="C1" s="3" t="s">
        <v>676</v>
      </c>
      <c r="D1" s="20"/>
      <c r="E1" s="20"/>
      <c r="F1" s="20"/>
      <c r="G1" s="20"/>
      <c r="H1" s="20"/>
      <c r="I1" s="20"/>
      <c r="J1" s="20"/>
      <c r="K1" s="20"/>
      <c r="L1" s="20"/>
      <c r="M1" s="20"/>
      <c r="N1" s="20"/>
      <c r="O1" s="20"/>
      <c r="P1" s="20"/>
      <c r="Q1" s="20"/>
      <c r="R1" s="20"/>
      <c r="S1" s="20"/>
      <c r="T1" s="20"/>
      <c r="U1" s="20"/>
      <c r="V1" s="20"/>
      <c r="W1" s="20"/>
      <c r="X1" s="20"/>
      <c r="Y1" s="20"/>
      <c r="Z1" s="20"/>
    </row>
    <row r="2" ht="14.25" customHeight="1">
      <c r="A2" s="21" t="s">
        <v>489</v>
      </c>
      <c r="B2" s="21" t="s">
        <v>677</v>
      </c>
      <c r="C2" s="1" t="s">
        <v>678</v>
      </c>
    </row>
    <row r="3" ht="14.25" customHeight="1">
      <c r="A3" s="21" t="s">
        <v>483</v>
      </c>
      <c r="B3" s="21" t="s">
        <v>677</v>
      </c>
      <c r="C3" s="1" t="s">
        <v>679</v>
      </c>
    </row>
    <row r="4" ht="14.25" customHeight="1">
      <c r="A4" s="21" t="s">
        <v>634</v>
      </c>
      <c r="B4" s="21" t="s">
        <v>677</v>
      </c>
      <c r="C4" s="1"/>
    </row>
    <row r="5" ht="14.25" customHeight="1">
      <c r="A5" s="21" t="s">
        <v>439</v>
      </c>
      <c r="B5" s="21" t="s">
        <v>677</v>
      </c>
      <c r="C5" s="1" t="s">
        <v>680</v>
      </c>
    </row>
    <row r="6" ht="14.25" customHeight="1">
      <c r="A6" s="21" t="s">
        <v>430</v>
      </c>
      <c r="B6" s="21" t="s">
        <v>677</v>
      </c>
      <c r="C6" s="1" t="s">
        <v>681</v>
      </c>
    </row>
    <row r="7" ht="14.25" customHeight="1">
      <c r="A7" s="21" t="s">
        <v>387</v>
      </c>
      <c r="B7" s="21" t="s">
        <v>677</v>
      </c>
      <c r="C7" s="1" t="s">
        <v>682</v>
      </c>
    </row>
    <row r="8" ht="14.25" customHeight="1">
      <c r="A8" s="21" t="s">
        <v>452</v>
      </c>
      <c r="B8" s="21" t="s">
        <v>677</v>
      </c>
      <c r="C8" s="1"/>
    </row>
    <row r="9" ht="14.25" customHeight="1">
      <c r="A9" s="21" t="s">
        <v>683</v>
      </c>
      <c r="B9" s="21" t="s">
        <v>677</v>
      </c>
      <c r="C9" s="1" t="s">
        <v>684</v>
      </c>
    </row>
    <row r="10" ht="14.25" customHeight="1">
      <c r="A10" s="21" t="s">
        <v>507</v>
      </c>
      <c r="B10" s="21" t="s">
        <v>677</v>
      </c>
      <c r="C10" s="1" t="s">
        <v>685</v>
      </c>
    </row>
    <row r="11" ht="14.25" customHeight="1">
      <c r="A11" s="21" t="s">
        <v>418</v>
      </c>
      <c r="B11" s="21" t="s">
        <v>677</v>
      </c>
      <c r="C11" s="1" t="s">
        <v>686</v>
      </c>
    </row>
    <row r="12" ht="14.25" customHeight="1">
      <c r="A12" s="21" t="s">
        <v>396</v>
      </c>
      <c r="B12" s="21" t="s">
        <v>677</v>
      </c>
      <c r="C12" s="1"/>
    </row>
    <row r="13" ht="14.25" customHeight="1">
      <c r="A13" s="21" t="s">
        <v>175</v>
      </c>
      <c r="B13" s="21" t="s">
        <v>677</v>
      </c>
      <c r="C13" s="1"/>
    </row>
    <row r="14" ht="14.25" customHeight="1">
      <c r="A14" s="21" t="s">
        <v>57</v>
      </c>
      <c r="B14" s="21" t="s">
        <v>677</v>
      </c>
      <c r="C14" s="1"/>
    </row>
    <row r="15" ht="14.25" customHeight="1">
      <c r="A15" s="21" t="s">
        <v>44</v>
      </c>
      <c r="B15" s="21" t="s">
        <v>677</v>
      </c>
      <c r="C15" s="1" t="s">
        <v>687</v>
      </c>
    </row>
    <row r="16" ht="14.25" customHeight="1">
      <c r="C16" s="1"/>
    </row>
    <row r="17" ht="14.25" customHeight="1">
      <c r="C17" s="1"/>
    </row>
    <row r="18" ht="14.25" customHeight="1">
      <c r="C18" s="1"/>
    </row>
    <row r="19" ht="14.25" customHeight="1">
      <c r="C19" s="1"/>
    </row>
    <row r="20" ht="14.25" customHeight="1">
      <c r="C20" s="1"/>
    </row>
    <row r="21" ht="14.25" customHeight="1">
      <c r="C21" s="1"/>
    </row>
    <row r="22" ht="14.25" customHeight="1">
      <c r="C22" s="1"/>
    </row>
    <row r="23" ht="14.25" customHeight="1">
      <c r="C23" s="1"/>
    </row>
    <row r="24" ht="14.25" customHeight="1">
      <c r="C24" s="1"/>
    </row>
    <row r="25" ht="14.25" customHeight="1">
      <c r="C25" s="1"/>
    </row>
    <row r="26" ht="14.25" customHeight="1">
      <c r="C26" s="1"/>
    </row>
    <row r="27" ht="14.25" customHeight="1">
      <c r="C27" s="1"/>
    </row>
    <row r="28" ht="14.25" customHeight="1">
      <c r="C28" s="1"/>
    </row>
    <row r="29" ht="14.25" customHeight="1">
      <c r="C29" s="1"/>
    </row>
    <row r="30" ht="14.25" customHeight="1">
      <c r="C30" s="1"/>
    </row>
    <row r="31" ht="14.25" customHeight="1">
      <c r="C31" s="1"/>
    </row>
    <row r="32" ht="14.25" customHeight="1">
      <c r="C32" s="1"/>
    </row>
    <row r="33" ht="14.25" customHeight="1">
      <c r="C33" s="1"/>
    </row>
    <row r="34" ht="14.25" customHeight="1">
      <c r="C34" s="1"/>
    </row>
    <row r="35" ht="14.25" customHeight="1">
      <c r="C35" s="1"/>
    </row>
    <row r="36" ht="14.25" customHeight="1">
      <c r="C36" s="1"/>
    </row>
    <row r="37" ht="14.25" customHeight="1">
      <c r="C37" s="1"/>
    </row>
    <row r="38" ht="14.25" customHeight="1">
      <c r="C38" s="1"/>
    </row>
    <row r="39" ht="14.25" customHeight="1">
      <c r="C39" s="1"/>
    </row>
    <row r="40" ht="14.25" customHeight="1">
      <c r="C40" s="1"/>
    </row>
    <row r="41" ht="14.25" customHeight="1">
      <c r="C41" s="1"/>
    </row>
    <row r="42" ht="14.25" customHeight="1">
      <c r="C42" s="1"/>
    </row>
    <row r="43" ht="14.25" customHeight="1">
      <c r="C43" s="1"/>
    </row>
    <row r="44" ht="14.25" customHeight="1">
      <c r="C44" s="1"/>
    </row>
    <row r="45" ht="14.25" customHeight="1">
      <c r="C45" s="1"/>
    </row>
    <row r="46" ht="14.25" customHeight="1">
      <c r="C46" s="1"/>
    </row>
    <row r="47" ht="14.25" customHeight="1">
      <c r="C47" s="1"/>
    </row>
    <row r="48" ht="14.25" customHeight="1">
      <c r="C48" s="1"/>
    </row>
    <row r="49" ht="14.25" customHeight="1">
      <c r="C49" s="1"/>
    </row>
    <row r="50" ht="14.25" customHeight="1">
      <c r="C50" s="1"/>
    </row>
    <row r="51" ht="14.25" customHeight="1">
      <c r="C51" s="1"/>
    </row>
    <row r="52" ht="14.25" customHeight="1">
      <c r="C52" s="1"/>
    </row>
    <row r="53" ht="14.25" customHeight="1">
      <c r="C53" s="1"/>
    </row>
    <row r="54" ht="14.25" customHeight="1">
      <c r="C54" s="1"/>
    </row>
    <row r="55" ht="14.25" customHeight="1">
      <c r="C55" s="1"/>
    </row>
    <row r="56" ht="14.25" customHeight="1">
      <c r="C56" s="1"/>
    </row>
    <row r="57" ht="14.25" customHeight="1">
      <c r="C57" s="1"/>
    </row>
    <row r="58" ht="14.25" customHeight="1">
      <c r="C58" s="1"/>
    </row>
    <row r="59" ht="14.25" customHeight="1">
      <c r="C59" s="1"/>
    </row>
    <row r="60" ht="14.25" customHeight="1">
      <c r="C60" s="1"/>
    </row>
    <row r="61" ht="14.25" customHeight="1">
      <c r="C61" s="1"/>
    </row>
    <row r="62" ht="14.25" customHeight="1">
      <c r="C62" s="1"/>
    </row>
    <row r="63" ht="14.25" customHeight="1">
      <c r="C63" s="1"/>
    </row>
    <row r="64" ht="14.25" customHeight="1">
      <c r="C64" s="1"/>
    </row>
    <row r="65" ht="14.25" customHeight="1">
      <c r="C65" s="1"/>
    </row>
    <row r="66" ht="14.25" customHeight="1">
      <c r="C66" s="1"/>
    </row>
    <row r="67" ht="14.25" customHeight="1">
      <c r="C67" s="1"/>
    </row>
    <row r="68" ht="14.25" customHeight="1">
      <c r="C68" s="1"/>
    </row>
    <row r="69" ht="14.25" customHeight="1">
      <c r="C69" s="1"/>
    </row>
    <row r="70" ht="14.25" customHeight="1">
      <c r="C70" s="1"/>
    </row>
    <row r="71" ht="14.25" customHeight="1">
      <c r="C71" s="1"/>
    </row>
    <row r="72" ht="14.25" customHeight="1">
      <c r="C72" s="1"/>
    </row>
    <row r="73" ht="14.25" customHeight="1">
      <c r="C73" s="1"/>
    </row>
    <row r="74" ht="14.25" customHeight="1">
      <c r="C74" s="1"/>
    </row>
    <row r="75" ht="14.25" customHeight="1">
      <c r="C75" s="1"/>
    </row>
    <row r="76" ht="14.25" customHeight="1">
      <c r="C76" s="1"/>
    </row>
    <row r="77" ht="14.25" customHeight="1">
      <c r="C77" s="1"/>
    </row>
    <row r="78" ht="14.25" customHeight="1">
      <c r="C78" s="1"/>
    </row>
    <row r="79" ht="14.25" customHeight="1">
      <c r="C79" s="1"/>
    </row>
    <row r="80" ht="14.25" customHeight="1">
      <c r="C80" s="1"/>
    </row>
    <row r="81" ht="14.25" customHeight="1">
      <c r="C81" s="1"/>
    </row>
    <row r="82" ht="14.25" customHeight="1">
      <c r="C82" s="1"/>
    </row>
    <row r="83" ht="14.25" customHeight="1">
      <c r="C83" s="1"/>
    </row>
    <row r="84" ht="14.25" customHeight="1">
      <c r="C84" s="1"/>
    </row>
    <row r="85" ht="14.25" customHeight="1">
      <c r="C85" s="1"/>
    </row>
    <row r="86" ht="14.25" customHeight="1">
      <c r="C86" s="1"/>
    </row>
    <row r="87" ht="14.25" customHeight="1">
      <c r="C87" s="1"/>
    </row>
    <row r="88" ht="14.25" customHeight="1">
      <c r="C88" s="1"/>
    </row>
    <row r="89" ht="14.25" customHeight="1">
      <c r="C89" s="1"/>
    </row>
    <row r="90" ht="14.25" customHeight="1">
      <c r="C90" s="1"/>
    </row>
    <row r="91" ht="14.25" customHeight="1">
      <c r="C91" s="1"/>
    </row>
    <row r="92" ht="14.25" customHeight="1">
      <c r="C92" s="1"/>
    </row>
    <row r="93" ht="14.25" customHeight="1">
      <c r="C93" s="1"/>
    </row>
    <row r="94" ht="14.25" customHeight="1">
      <c r="C94" s="1"/>
    </row>
    <row r="95" ht="14.25" customHeight="1">
      <c r="C95" s="1"/>
    </row>
    <row r="96" ht="14.25" customHeight="1">
      <c r="C96" s="1"/>
    </row>
    <row r="97" ht="14.25" customHeight="1">
      <c r="C97" s="1"/>
    </row>
    <row r="98" ht="14.25" customHeight="1">
      <c r="C98" s="1"/>
    </row>
    <row r="99" ht="14.25" customHeight="1">
      <c r="C99" s="1"/>
    </row>
    <row r="100" ht="14.25" customHeight="1">
      <c r="C100" s="1"/>
    </row>
    <row r="101" ht="14.25" customHeight="1">
      <c r="C101" s="1"/>
    </row>
    <row r="102" ht="14.25" customHeight="1">
      <c r="C102" s="1"/>
    </row>
    <row r="103" ht="14.25" customHeight="1">
      <c r="C103" s="1"/>
    </row>
    <row r="104" ht="14.25" customHeight="1">
      <c r="C104" s="1"/>
    </row>
    <row r="105" ht="14.25" customHeight="1">
      <c r="C105" s="1"/>
    </row>
    <row r="106" ht="14.25" customHeight="1">
      <c r="C106" s="1"/>
    </row>
    <row r="107" ht="14.25" customHeight="1">
      <c r="C107" s="1"/>
    </row>
    <row r="108" ht="14.25" customHeight="1">
      <c r="C108" s="1"/>
    </row>
    <row r="109" ht="14.25" customHeight="1">
      <c r="C109" s="1"/>
    </row>
    <row r="110" ht="14.25" customHeight="1">
      <c r="C110" s="1"/>
    </row>
    <row r="111" ht="14.25" customHeight="1">
      <c r="C111" s="1"/>
    </row>
    <row r="112" ht="14.25" customHeight="1">
      <c r="C112" s="1"/>
    </row>
    <row r="113" ht="14.25" customHeight="1">
      <c r="C113" s="1"/>
    </row>
    <row r="114" ht="14.25" customHeight="1">
      <c r="C114" s="1"/>
    </row>
    <row r="115" ht="14.25" customHeight="1">
      <c r="C115" s="1"/>
    </row>
    <row r="116" ht="14.25" customHeight="1">
      <c r="C116" s="1"/>
    </row>
    <row r="117" ht="14.25" customHeight="1">
      <c r="C117" s="1"/>
    </row>
    <row r="118" ht="14.25" customHeight="1">
      <c r="C118" s="1"/>
    </row>
    <row r="119" ht="14.25" customHeight="1">
      <c r="C119" s="1"/>
    </row>
    <row r="120" ht="14.25" customHeight="1">
      <c r="C120" s="1"/>
    </row>
    <row r="121" ht="14.25" customHeight="1">
      <c r="C121" s="1"/>
    </row>
    <row r="122" ht="14.25" customHeight="1">
      <c r="C122" s="1"/>
    </row>
    <row r="123" ht="14.25" customHeight="1">
      <c r="C123" s="1"/>
    </row>
    <row r="124" ht="14.25" customHeight="1">
      <c r="C124" s="1"/>
    </row>
    <row r="125" ht="14.25" customHeight="1">
      <c r="C125" s="1"/>
    </row>
    <row r="126" ht="14.25" customHeight="1">
      <c r="C126" s="1"/>
    </row>
    <row r="127" ht="14.25" customHeight="1">
      <c r="C127" s="1"/>
    </row>
    <row r="128" ht="14.25" customHeight="1">
      <c r="C128" s="1"/>
    </row>
    <row r="129" ht="14.25" customHeight="1">
      <c r="C129" s="1"/>
    </row>
    <row r="130" ht="14.25" customHeight="1">
      <c r="C130" s="1"/>
    </row>
    <row r="131" ht="14.25" customHeight="1">
      <c r="C131" s="1"/>
    </row>
    <row r="132" ht="14.25" customHeight="1">
      <c r="C132" s="1"/>
    </row>
    <row r="133" ht="14.25" customHeight="1">
      <c r="C133" s="1"/>
    </row>
    <row r="134" ht="14.25" customHeight="1">
      <c r="C134" s="1"/>
    </row>
    <row r="135" ht="14.25" customHeight="1">
      <c r="C135" s="1"/>
    </row>
    <row r="136" ht="14.25" customHeight="1">
      <c r="C136" s="1"/>
    </row>
    <row r="137" ht="14.25" customHeight="1">
      <c r="C137" s="1"/>
    </row>
    <row r="138" ht="14.25" customHeight="1">
      <c r="C138" s="1"/>
    </row>
    <row r="139" ht="14.25" customHeight="1">
      <c r="C139" s="1"/>
    </row>
    <row r="140" ht="14.25" customHeight="1">
      <c r="C140" s="1"/>
    </row>
    <row r="141" ht="14.25" customHeight="1">
      <c r="C141" s="1"/>
    </row>
    <row r="142" ht="14.25" customHeight="1">
      <c r="C142" s="1"/>
    </row>
    <row r="143" ht="14.25" customHeight="1">
      <c r="C143" s="1"/>
    </row>
    <row r="144" ht="14.25" customHeight="1">
      <c r="C144" s="1"/>
    </row>
    <row r="145" ht="14.25" customHeight="1">
      <c r="C145" s="1"/>
    </row>
    <row r="146" ht="14.25" customHeight="1">
      <c r="C146" s="1"/>
    </row>
    <row r="147" ht="14.25" customHeight="1">
      <c r="C147" s="1"/>
    </row>
    <row r="148" ht="14.25" customHeight="1">
      <c r="C148" s="1"/>
    </row>
    <row r="149" ht="14.25" customHeight="1">
      <c r="C149" s="1"/>
    </row>
    <row r="150" ht="14.25" customHeight="1">
      <c r="C150" s="1"/>
    </row>
    <row r="151" ht="14.25" customHeight="1">
      <c r="C151" s="1"/>
    </row>
    <row r="152" ht="14.25" customHeight="1">
      <c r="C152" s="1"/>
    </row>
    <row r="153" ht="14.25" customHeight="1">
      <c r="C153" s="1"/>
    </row>
    <row r="154" ht="14.25" customHeight="1">
      <c r="C154" s="1"/>
    </row>
    <row r="155" ht="14.25" customHeight="1">
      <c r="C155" s="1"/>
    </row>
    <row r="156" ht="14.25" customHeight="1">
      <c r="C156" s="1"/>
    </row>
    <row r="157" ht="14.25" customHeight="1">
      <c r="C157" s="1"/>
    </row>
    <row r="158" ht="14.25" customHeight="1">
      <c r="C158" s="1"/>
    </row>
    <row r="159" ht="14.25" customHeight="1">
      <c r="C159" s="1"/>
    </row>
    <row r="160" ht="14.25" customHeight="1">
      <c r="C160" s="1"/>
    </row>
    <row r="161" ht="14.25" customHeight="1">
      <c r="C161" s="1"/>
    </row>
    <row r="162" ht="14.25" customHeight="1">
      <c r="C162" s="1"/>
    </row>
    <row r="163" ht="14.25" customHeight="1">
      <c r="C163" s="1"/>
    </row>
    <row r="164" ht="14.25" customHeight="1">
      <c r="C164" s="1"/>
    </row>
    <row r="165" ht="14.25" customHeight="1">
      <c r="C165" s="1"/>
    </row>
    <row r="166" ht="14.25" customHeight="1">
      <c r="C166" s="1"/>
    </row>
    <row r="167" ht="14.25" customHeight="1">
      <c r="C167" s="1"/>
    </row>
    <row r="168" ht="14.25" customHeight="1">
      <c r="C168" s="1"/>
    </row>
    <row r="169" ht="14.25" customHeight="1">
      <c r="C169" s="1"/>
    </row>
    <row r="170" ht="14.25" customHeight="1">
      <c r="C170" s="1"/>
    </row>
    <row r="171" ht="14.25" customHeight="1">
      <c r="C171" s="1"/>
    </row>
    <row r="172" ht="14.25" customHeight="1">
      <c r="C172" s="1"/>
    </row>
    <row r="173" ht="14.25" customHeight="1">
      <c r="C173" s="1"/>
    </row>
    <row r="174" ht="14.25" customHeight="1">
      <c r="C174" s="1"/>
    </row>
    <row r="175" ht="14.25" customHeight="1">
      <c r="C175" s="1"/>
    </row>
    <row r="176" ht="14.25" customHeight="1">
      <c r="C176" s="1"/>
    </row>
    <row r="177" ht="14.25" customHeight="1">
      <c r="C177" s="1"/>
    </row>
    <row r="178" ht="14.25" customHeight="1">
      <c r="C178" s="1"/>
    </row>
    <row r="179" ht="14.25" customHeight="1">
      <c r="C179" s="1"/>
    </row>
    <row r="180" ht="14.25" customHeight="1">
      <c r="C180" s="1"/>
    </row>
    <row r="181" ht="14.25" customHeight="1">
      <c r="C181" s="1"/>
    </row>
    <row r="182" ht="14.25" customHeight="1">
      <c r="C182" s="1"/>
    </row>
    <row r="183" ht="14.25" customHeight="1">
      <c r="C183" s="1"/>
    </row>
    <row r="184" ht="14.25" customHeight="1">
      <c r="C184" s="1"/>
    </row>
    <row r="185" ht="14.25" customHeight="1">
      <c r="C185" s="1"/>
    </row>
    <row r="186" ht="14.25" customHeight="1">
      <c r="C186" s="1"/>
    </row>
    <row r="187" ht="14.25" customHeight="1">
      <c r="C187" s="1"/>
    </row>
    <row r="188" ht="14.25" customHeight="1">
      <c r="C188" s="1"/>
    </row>
    <row r="189" ht="14.25" customHeight="1">
      <c r="C189" s="1"/>
    </row>
    <row r="190" ht="14.25" customHeight="1">
      <c r="C190" s="1"/>
    </row>
    <row r="191" ht="14.25" customHeight="1">
      <c r="C191" s="1"/>
    </row>
    <row r="192" ht="14.25" customHeight="1">
      <c r="C192" s="1"/>
    </row>
    <row r="193" ht="14.25" customHeight="1">
      <c r="C193" s="1"/>
    </row>
    <row r="194" ht="14.25" customHeight="1">
      <c r="C194" s="1"/>
    </row>
    <row r="195" ht="14.25" customHeight="1">
      <c r="C195" s="1"/>
    </row>
    <row r="196" ht="14.25" customHeight="1">
      <c r="C196" s="1"/>
    </row>
    <row r="197" ht="14.25" customHeight="1">
      <c r="C197" s="1"/>
    </row>
    <row r="198" ht="14.25" customHeight="1">
      <c r="C198" s="1"/>
    </row>
    <row r="199" ht="14.25" customHeight="1">
      <c r="C199" s="1"/>
    </row>
    <row r="200" ht="14.25" customHeight="1">
      <c r="C200" s="1"/>
    </row>
    <row r="201" ht="14.25" customHeight="1">
      <c r="C201" s="1"/>
    </row>
    <row r="202" ht="14.25" customHeight="1">
      <c r="C202" s="1"/>
    </row>
    <row r="203" ht="14.25" customHeight="1">
      <c r="C203" s="1"/>
    </row>
    <row r="204" ht="14.25" customHeight="1">
      <c r="C204" s="1"/>
    </row>
    <row r="205" ht="14.25" customHeight="1">
      <c r="C205" s="1"/>
    </row>
    <row r="206" ht="14.25" customHeight="1">
      <c r="C206" s="1"/>
    </row>
    <row r="207" ht="14.25" customHeight="1">
      <c r="C207" s="1"/>
    </row>
    <row r="208" ht="14.25" customHeight="1">
      <c r="C208" s="1"/>
    </row>
    <row r="209" ht="14.25" customHeight="1">
      <c r="C209" s="1"/>
    </row>
    <row r="210" ht="14.25" customHeight="1">
      <c r="C210" s="1"/>
    </row>
    <row r="211" ht="14.25" customHeight="1">
      <c r="C211" s="1"/>
    </row>
    <row r="212" ht="14.25" customHeight="1">
      <c r="C212" s="1"/>
    </row>
    <row r="213" ht="14.25" customHeight="1">
      <c r="C213" s="1"/>
    </row>
    <row r="214" ht="14.25" customHeight="1">
      <c r="C214" s="1"/>
    </row>
    <row r="215" ht="14.25" customHeight="1">
      <c r="C215" s="1"/>
    </row>
    <row r="216" ht="14.25" customHeight="1">
      <c r="C216" s="1"/>
    </row>
    <row r="217" ht="14.25" customHeight="1">
      <c r="C217" s="1"/>
    </row>
    <row r="218" ht="14.25" customHeight="1">
      <c r="C218" s="1"/>
    </row>
    <row r="219" ht="14.25" customHeight="1">
      <c r="C219" s="1"/>
    </row>
    <row r="220" ht="14.25" customHeight="1">
      <c r="C220" s="1"/>
    </row>
    <row r="221" ht="14.25" customHeight="1">
      <c r="C221" s="1"/>
    </row>
    <row r="222" ht="14.25" customHeight="1">
      <c r="C222" s="1"/>
    </row>
    <row r="223" ht="14.25" customHeight="1">
      <c r="C223" s="1"/>
    </row>
    <row r="224" ht="14.25" customHeight="1">
      <c r="C224" s="1"/>
    </row>
    <row r="225" ht="14.25" customHeight="1">
      <c r="C225" s="1"/>
    </row>
    <row r="226" ht="14.25" customHeight="1">
      <c r="C226" s="1"/>
    </row>
    <row r="227" ht="14.25" customHeight="1">
      <c r="C227" s="1"/>
    </row>
    <row r="228" ht="14.25" customHeight="1">
      <c r="C228" s="1"/>
    </row>
    <row r="229" ht="14.25" customHeight="1">
      <c r="C229" s="1"/>
    </row>
    <row r="230" ht="14.25" customHeight="1">
      <c r="C230" s="1"/>
    </row>
    <row r="231" ht="14.25" customHeight="1">
      <c r="C231" s="1"/>
    </row>
    <row r="232" ht="14.25" customHeight="1">
      <c r="C232" s="1"/>
    </row>
    <row r="233" ht="14.25" customHeight="1">
      <c r="C233" s="1"/>
    </row>
    <row r="234" ht="14.25" customHeight="1">
      <c r="C234" s="1"/>
    </row>
    <row r="235" ht="14.25" customHeight="1">
      <c r="C235" s="1"/>
    </row>
    <row r="236" ht="14.25" customHeight="1">
      <c r="C236" s="1"/>
    </row>
    <row r="237" ht="14.25" customHeight="1">
      <c r="C237" s="1"/>
    </row>
    <row r="238" ht="14.25" customHeight="1">
      <c r="C238" s="1"/>
    </row>
    <row r="239" ht="14.25" customHeight="1">
      <c r="C239" s="1"/>
    </row>
    <row r="240" ht="14.25" customHeight="1">
      <c r="C240" s="1"/>
    </row>
    <row r="241" ht="14.25" customHeight="1">
      <c r="C241" s="1"/>
    </row>
    <row r="242" ht="14.25" customHeight="1">
      <c r="C242" s="1"/>
    </row>
    <row r="243" ht="14.25" customHeight="1">
      <c r="C243" s="1"/>
    </row>
    <row r="244" ht="14.25" customHeight="1">
      <c r="C244" s="1"/>
    </row>
    <row r="245" ht="14.25" customHeight="1">
      <c r="C245" s="1"/>
    </row>
    <row r="246" ht="14.25" customHeight="1">
      <c r="C246" s="1"/>
    </row>
    <row r="247" ht="14.25" customHeight="1">
      <c r="C247" s="1"/>
    </row>
    <row r="248" ht="14.25" customHeight="1">
      <c r="C248" s="1"/>
    </row>
    <row r="249" ht="14.25" customHeight="1">
      <c r="C249" s="1"/>
    </row>
    <row r="250" ht="14.25" customHeight="1">
      <c r="C250" s="1"/>
    </row>
    <row r="251" ht="14.25" customHeight="1">
      <c r="C251" s="1"/>
    </row>
    <row r="252" ht="14.25" customHeight="1">
      <c r="C252" s="1"/>
    </row>
    <row r="253" ht="14.25" customHeight="1">
      <c r="C253" s="1"/>
    </row>
    <row r="254" ht="14.25" customHeight="1">
      <c r="C254" s="1"/>
    </row>
    <row r="255" ht="14.25" customHeight="1">
      <c r="C255" s="1"/>
    </row>
    <row r="256" ht="14.25" customHeight="1">
      <c r="C256" s="1"/>
    </row>
    <row r="257" ht="14.25" customHeight="1">
      <c r="C257" s="1"/>
    </row>
    <row r="258" ht="14.25" customHeight="1">
      <c r="C258" s="1"/>
    </row>
    <row r="259" ht="14.25" customHeight="1">
      <c r="C259" s="1"/>
    </row>
    <row r="260" ht="14.25" customHeight="1">
      <c r="C260" s="1"/>
    </row>
    <row r="261" ht="14.25" customHeight="1">
      <c r="C261" s="1"/>
    </row>
    <row r="262" ht="14.25" customHeight="1">
      <c r="C262" s="1"/>
    </row>
    <row r="263" ht="14.25" customHeight="1">
      <c r="C263" s="1"/>
    </row>
    <row r="264" ht="14.25" customHeight="1">
      <c r="C264" s="1"/>
    </row>
    <row r="265" ht="14.25" customHeight="1">
      <c r="C265" s="1"/>
    </row>
    <row r="266" ht="14.25" customHeight="1">
      <c r="C266" s="1"/>
    </row>
    <row r="267" ht="14.25" customHeight="1">
      <c r="C267" s="1"/>
    </row>
    <row r="268" ht="14.25" customHeight="1">
      <c r="C268" s="1"/>
    </row>
    <row r="269" ht="14.25" customHeight="1">
      <c r="C269" s="1"/>
    </row>
    <row r="270" ht="14.25" customHeight="1">
      <c r="C270" s="1"/>
    </row>
    <row r="271" ht="14.25" customHeight="1">
      <c r="C271" s="1"/>
    </row>
    <row r="272" ht="14.25" customHeight="1">
      <c r="C272" s="1"/>
    </row>
    <row r="273" ht="14.25" customHeight="1">
      <c r="C273" s="1"/>
    </row>
    <row r="274" ht="14.25" customHeight="1">
      <c r="C274" s="1"/>
    </row>
    <row r="275" ht="14.25" customHeight="1">
      <c r="C275" s="1"/>
    </row>
    <row r="276" ht="14.25" customHeight="1">
      <c r="C276" s="1"/>
    </row>
    <row r="277" ht="14.25" customHeight="1">
      <c r="C277" s="1"/>
    </row>
    <row r="278" ht="14.25" customHeight="1">
      <c r="C278" s="1"/>
    </row>
    <row r="279" ht="14.25" customHeight="1">
      <c r="C279" s="1"/>
    </row>
    <row r="280" ht="14.25" customHeight="1">
      <c r="C280" s="1"/>
    </row>
    <row r="281" ht="14.25" customHeight="1">
      <c r="C281" s="1"/>
    </row>
    <row r="282" ht="14.25" customHeight="1">
      <c r="C282" s="1"/>
    </row>
    <row r="283" ht="14.25" customHeight="1">
      <c r="C283" s="1"/>
    </row>
    <row r="284" ht="14.25" customHeight="1">
      <c r="C284" s="1"/>
    </row>
    <row r="285" ht="14.25" customHeight="1">
      <c r="C285" s="1"/>
    </row>
    <row r="286" ht="14.25" customHeight="1">
      <c r="C286" s="1"/>
    </row>
    <row r="287" ht="14.25" customHeight="1">
      <c r="C287" s="1"/>
    </row>
    <row r="288" ht="14.25" customHeight="1">
      <c r="C288" s="1"/>
    </row>
    <row r="289" ht="14.25" customHeight="1">
      <c r="C289" s="1"/>
    </row>
    <row r="290" ht="14.25" customHeight="1">
      <c r="C290" s="1"/>
    </row>
    <row r="291" ht="14.25" customHeight="1">
      <c r="C291" s="1"/>
    </row>
    <row r="292" ht="14.25" customHeight="1">
      <c r="C292" s="1"/>
    </row>
    <row r="293" ht="14.25" customHeight="1">
      <c r="C293" s="1"/>
    </row>
    <row r="294" ht="14.25" customHeight="1">
      <c r="C294" s="1"/>
    </row>
    <row r="295" ht="14.25" customHeight="1">
      <c r="C295" s="1"/>
    </row>
    <row r="296" ht="14.25" customHeight="1">
      <c r="C296" s="1"/>
    </row>
    <row r="297" ht="14.25" customHeight="1">
      <c r="C297" s="1"/>
    </row>
    <row r="298" ht="14.25" customHeight="1">
      <c r="C298" s="1"/>
    </row>
    <row r="299" ht="14.25" customHeight="1">
      <c r="C299" s="1"/>
    </row>
    <row r="300" ht="14.25" customHeight="1">
      <c r="C300" s="1"/>
    </row>
    <row r="301" ht="14.25" customHeight="1">
      <c r="C301" s="1"/>
    </row>
    <row r="302" ht="14.25" customHeight="1">
      <c r="C302" s="1"/>
    </row>
    <row r="303" ht="14.25" customHeight="1">
      <c r="C303" s="1"/>
    </row>
    <row r="304" ht="14.25" customHeight="1">
      <c r="C304" s="1"/>
    </row>
    <row r="305" ht="14.25" customHeight="1">
      <c r="C305" s="1"/>
    </row>
    <row r="306" ht="14.25" customHeight="1">
      <c r="C306" s="1"/>
    </row>
    <row r="307" ht="14.25" customHeight="1">
      <c r="C307" s="1"/>
    </row>
    <row r="308" ht="14.25" customHeight="1">
      <c r="C308" s="1"/>
    </row>
    <row r="309" ht="14.25" customHeight="1">
      <c r="C309" s="1"/>
    </row>
    <row r="310" ht="14.25" customHeight="1">
      <c r="C310" s="1"/>
    </row>
    <row r="311" ht="14.25" customHeight="1">
      <c r="C311" s="1"/>
    </row>
    <row r="312" ht="14.25" customHeight="1">
      <c r="C312" s="1"/>
    </row>
    <row r="313" ht="14.25" customHeight="1">
      <c r="C313" s="1"/>
    </row>
    <row r="314" ht="14.25" customHeight="1">
      <c r="C314" s="1"/>
    </row>
    <row r="315" ht="14.25" customHeight="1">
      <c r="C315" s="1"/>
    </row>
    <row r="316" ht="14.25" customHeight="1">
      <c r="C316" s="1"/>
    </row>
    <row r="317" ht="14.25" customHeight="1">
      <c r="C317" s="1"/>
    </row>
    <row r="318" ht="14.25" customHeight="1">
      <c r="C318" s="1"/>
    </row>
    <row r="319" ht="14.25" customHeight="1">
      <c r="C319" s="1"/>
    </row>
    <row r="320" ht="14.25" customHeight="1">
      <c r="C320" s="1"/>
    </row>
    <row r="321" ht="14.25" customHeight="1">
      <c r="C321" s="1"/>
    </row>
    <row r="322" ht="14.25" customHeight="1">
      <c r="C322" s="1"/>
    </row>
    <row r="323" ht="14.25" customHeight="1">
      <c r="C323" s="1"/>
    </row>
    <row r="324" ht="14.25" customHeight="1">
      <c r="C324" s="1"/>
    </row>
    <row r="325" ht="14.25" customHeight="1">
      <c r="C325" s="1"/>
    </row>
    <row r="326" ht="14.25" customHeight="1">
      <c r="C326" s="1"/>
    </row>
    <row r="327" ht="14.25" customHeight="1">
      <c r="C327" s="1"/>
    </row>
    <row r="328" ht="14.25" customHeight="1">
      <c r="C328" s="1"/>
    </row>
    <row r="329" ht="14.25" customHeight="1">
      <c r="C329" s="1"/>
    </row>
    <row r="330" ht="14.25" customHeight="1">
      <c r="C330" s="1"/>
    </row>
    <row r="331" ht="14.25" customHeight="1">
      <c r="C331" s="1"/>
    </row>
    <row r="332" ht="14.25" customHeight="1">
      <c r="C332" s="1"/>
    </row>
    <row r="333" ht="14.25" customHeight="1">
      <c r="C333" s="1"/>
    </row>
    <row r="334" ht="14.25" customHeight="1">
      <c r="C334" s="1"/>
    </row>
    <row r="335" ht="14.25" customHeight="1">
      <c r="C335" s="1"/>
    </row>
    <row r="336" ht="14.25" customHeight="1">
      <c r="C336" s="1"/>
    </row>
    <row r="337" ht="14.25" customHeight="1">
      <c r="C337" s="1"/>
    </row>
    <row r="338" ht="14.25" customHeight="1">
      <c r="C338" s="1"/>
    </row>
    <row r="339" ht="14.25" customHeight="1">
      <c r="C339" s="1"/>
    </row>
    <row r="340" ht="14.25" customHeight="1">
      <c r="C340" s="1"/>
    </row>
    <row r="341" ht="14.25" customHeight="1">
      <c r="C341" s="1"/>
    </row>
    <row r="342" ht="14.25" customHeight="1">
      <c r="C342" s="1"/>
    </row>
    <row r="343" ht="14.25" customHeight="1">
      <c r="C343" s="1"/>
    </row>
    <row r="344" ht="14.25" customHeight="1">
      <c r="C344" s="1"/>
    </row>
    <row r="345" ht="14.25" customHeight="1">
      <c r="C345" s="1"/>
    </row>
    <row r="346" ht="14.25" customHeight="1">
      <c r="C346" s="1"/>
    </row>
    <row r="347" ht="14.25" customHeight="1">
      <c r="C347" s="1"/>
    </row>
    <row r="348" ht="14.25" customHeight="1">
      <c r="C348" s="1"/>
    </row>
    <row r="349" ht="14.25" customHeight="1">
      <c r="C349" s="1"/>
    </row>
    <row r="350" ht="14.25" customHeight="1">
      <c r="C350" s="1"/>
    </row>
    <row r="351" ht="14.25" customHeight="1">
      <c r="C351" s="1"/>
    </row>
    <row r="352" ht="14.25" customHeight="1">
      <c r="C352" s="1"/>
    </row>
    <row r="353" ht="14.25" customHeight="1">
      <c r="C353" s="1"/>
    </row>
    <row r="354" ht="14.25" customHeight="1">
      <c r="C354" s="1"/>
    </row>
    <row r="355" ht="14.25" customHeight="1">
      <c r="C355" s="1"/>
    </row>
    <row r="356" ht="14.25" customHeight="1">
      <c r="C356" s="1"/>
    </row>
    <row r="357" ht="14.25" customHeight="1">
      <c r="C357" s="1"/>
    </row>
    <row r="358" ht="14.25" customHeight="1">
      <c r="C358" s="1"/>
    </row>
    <row r="359" ht="14.25" customHeight="1">
      <c r="C359" s="1"/>
    </row>
    <row r="360" ht="14.25" customHeight="1">
      <c r="C360" s="1"/>
    </row>
    <row r="361" ht="14.25" customHeight="1">
      <c r="C361" s="1"/>
    </row>
    <row r="362" ht="14.25" customHeight="1">
      <c r="C362" s="1"/>
    </row>
    <row r="363" ht="14.25" customHeight="1">
      <c r="C363" s="1"/>
    </row>
    <row r="364" ht="14.25" customHeight="1">
      <c r="C364" s="1"/>
    </row>
    <row r="365" ht="14.25" customHeight="1">
      <c r="C365" s="1"/>
    </row>
    <row r="366" ht="14.25" customHeight="1">
      <c r="C366" s="1"/>
    </row>
    <row r="367" ht="14.25" customHeight="1">
      <c r="C367" s="1"/>
    </row>
    <row r="368" ht="14.25" customHeight="1">
      <c r="C368" s="1"/>
    </row>
    <row r="369" ht="14.25" customHeight="1">
      <c r="C369" s="1"/>
    </row>
    <row r="370" ht="14.25" customHeight="1">
      <c r="C370" s="1"/>
    </row>
    <row r="371" ht="14.25" customHeight="1">
      <c r="C371" s="1"/>
    </row>
    <row r="372" ht="14.25" customHeight="1">
      <c r="C372" s="1"/>
    </row>
    <row r="373" ht="14.25" customHeight="1">
      <c r="C373" s="1"/>
    </row>
    <row r="374" ht="14.25" customHeight="1">
      <c r="C374" s="1"/>
    </row>
    <row r="375" ht="14.25" customHeight="1">
      <c r="C375" s="1"/>
    </row>
    <row r="376" ht="14.25" customHeight="1">
      <c r="C376" s="1"/>
    </row>
    <row r="377" ht="14.25" customHeight="1">
      <c r="C377" s="1"/>
    </row>
    <row r="378" ht="14.25" customHeight="1">
      <c r="C378" s="1"/>
    </row>
    <row r="379" ht="14.25" customHeight="1">
      <c r="C379" s="1"/>
    </row>
    <row r="380" ht="14.25" customHeight="1">
      <c r="C380" s="1"/>
    </row>
    <row r="381" ht="14.25" customHeight="1">
      <c r="C381" s="1"/>
    </row>
    <row r="382" ht="14.25" customHeight="1">
      <c r="C382" s="1"/>
    </row>
    <row r="383" ht="14.25" customHeight="1">
      <c r="C383" s="1"/>
    </row>
    <row r="384" ht="14.25" customHeight="1">
      <c r="C384" s="1"/>
    </row>
    <row r="385" ht="14.25" customHeight="1">
      <c r="C385" s="1"/>
    </row>
    <row r="386" ht="14.25" customHeight="1">
      <c r="C386" s="1"/>
    </row>
    <row r="387" ht="14.25" customHeight="1">
      <c r="C387" s="1"/>
    </row>
    <row r="388" ht="14.25" customHeight="1">
      <c r="C388" s="1"/>
    </row>
    <row r="389" ht="14.25" customHeight="1">
      <c r="C389" s="1"/>
    </row>
    <row r="390" ht="14.25" customHeight="1">
      <c r="C390" s="1"/>
    </row>
    <row r="391" ht="14.25" customHeight="1">
      <c r="C391" s="1"/>
    </row>
    <row r="392" ht="14.25" customHeight="1">
      <c r="C392" s="1"/>
    </row>
    <row r="393" ht="14.25" customHeight="1">
      <c r="C393" s="1"/>
    </row>
    <row r="394" ht="14.25" customHeight="1">
      <c r="C394" s="1"/>
    </row>
    <row r="395" ht="14.25" customHeight="1">
      <c r="C395" s="1"/>
    </row>
    <row r="396" ht="14.25" customHeight="1">
      <c r="C396" s="1"/>
    </row>
    <row r="397" ht="14.25" customHeight="1">
      <c r="C397" s="1"/>
    </row>
    <row r="398" ht="14.25" customHeight="1">
      <c r="C398" s="1"/>
    </row>
    <row r="399" ht="14.25" customHeight="1">
      <c r="C399" s="1"/>
    </row>
    <row r="400" ht="14.25" customHeight="1">
      <c r="C400" s="1"/>
    </row>
    <row r="401" ht="14.25" customHeight="1">
      <c r="C401" s="1"/>
    </row>
    <row r="402" ht="14.25" customHeight="1">
      <c r="C402" s="1"/>
    </row>
    <row r="403" ht="14.25" customHeight="1">
      <c r="C403" s="1"/>
    </row>
    <row r="404" ht="14.25" customHeight="1">
      <c r="C404" s="1"/>
    </row>
    <row r="405" ht="14.25" customHeight="1">
      <c r="C405" s="1"/>
    </row>
    <row r="406" ht="14.25" customHeight="1">
      <c r="C406" s="1"/>
    </row>
    <row r="407" ht="14.25" customHeight="1">
      <c r="C407" s="1"/>
    </row>
    <row r="408" ht="14.25" customHeight="1">
      <c r="C408" s="1"/>
    </row>
    <row r="409" ht="14.25" customHeight="1">
      <c r="C409" s="1"/>
    </row>
    <row r="410" ht="14.25" customHeight="1">
      <c r="C410" s="1"/>
    </row>
    <row r="411" ht="14.25" customHeight="1">
      <c r="C411" s="1"/>
    </row>
    <row r="412" ht="14.25" customHeight="1">
      <c r="C412" s="1"/>
    </row>
    <row r="413" ht="14.25" customHeight="1">
      <c r="C413" s="1"/>
    </row>
    <row r="414" ht="14.25" customHeight="1">
      <c r="C414" s="1"/>
    </row>
    <row r="415" ht="14.25" customHeight="1">
      <c r="C415" s="1"/>
    </row>
    <row r="416" ht="14.25" customHeight="1">
      <c r="C416" s="1"/>
    </row>
    <row r="417" ht="14.25" customHeight="1">
      <c r="C417" s="1"/>
    </row>
    <row r="418" ht="14.25" customHeight="1">
      <c r="C418" s="1"/>
    </row>
    <row r="419" ht="14.25" customHeight="1">
      <c r="C419" s="1"/>
    </row>
    <row r="420" ht="14.25" customHeight="1">
      <c r="C420" s="1"/>
    </row>
    <row r="421" ht="14.25" customHeight="1">
      <c r="C421" s="1"/>
    </row>
    <row r="422" ht="14.25" customHeight="1">
      <c r="C422" s="1"/>
    </row>
    <row r="423" ht="14.25" customHeight="1">
      <c r="C423" s="1"/>
    </row>
    <row r="424" ht="14.25" customHeight="1">
      <c r="C424" s="1"/>
    </row>
    <row r="425" ht="14.25" customHeight="1">
      <c r="C425" s="1"/>
    </row>
    <row r="426" ht="14.25" customHeight="1">
      <c r="C426" s="1"/>
    </row>
    <row r="427" ht="14.25" customHeight="1">
      <c r="C427" s="1"/>
    </row>
    <row r="428" ht="14.25" customHeight="1">
      <c r="C428" s="1"/>
    </row>
    <row r="429" ht="14.25" customHeight="1">
      <c r="C429" s="1"/>
    </row>
    <row r="430" ht="14.25" customHeight="1">
      <c r="C430" s="1"/>
    </row>
    <row r="431" ht="14.25" customHeight="1">
      <c r="C431" s="1"/>
    </row>
    <row r="432" ht="14.25" customHeight="1">
      <c r="C432" s="1"/>
    </row>
    <row r="433" ht="14.25" customHeight="1">
      <c r="C433" s="1"/>
    </row>
    <row r="434" ht="14.25" customHeight="1">
      <c r="C434" s="1"/>
    </row>
    <row r="435" ht="14.25" customHeight="1">
      <c r="C435" s="1"/>
    </row>
    <row r="436" ht="14.25" customHeight="1">
      <c r="C436" s="1"/>
    </row>
    <row r="437" ht="14.25" customHeight="1">
      <c r="C437" s="1"/>
    </row>
    <row r="438" ht="14.25" customHeight="1">
      <c r="C438" s="1"/>
    </row>
    <row r="439" ht="14.25" customHeight="1">
      <c r="C439" s="1"/>
    </row>
    <row r="440" ht="14.25" customHeight="1">
      <c r="C440" s="1"/>
    </row>
    <row r="441" ht="14.25" customHeight="1">
      <c r="C441" s="1"/>
    </row>
    <row r="442" ht="14.25" customHeight="1">
      <c r="C442" s="1"/>
    </row>
    <row r="443" ht="14.25" customHeight="1">
      <c r="C443" s="1"/>
    </row>
    <row r="444" ht="14.25" customHeight="1">
      <c r="C444" s="1"/>
    </row>
    <row r="445" ht="14.25" customHeight="1">
      <c r="C445" s="1"/>
    </row>
    <row r="446" ht="14.25" customHeight="1">
      <c r="C446" s="1"/>
    </row>
    <row r="447" ht="14.25" customHeight="1">
      <c r="C447" s="1"/>
    </row>
    <row r="448" ht="14.25" customHeight="1">
      <c r="C448" s="1"/>
    </row>
    <row r="449" ht="14.25" customHeight="1">
      <c r="C449" s="1"/>
    </row>
    <row r="450" ht="14.25" customHeight="1">
      <c r="C450" s="1"/>
    </row>
    <row r="451" ht="14.25" customHeight="1">
      <c r="C451" s="1"/>
    </row>
    <row r="452" ht="14.25" customHeight="1">
      <c r="C452" s="1"/>
    </row>
    <row r="453" ht="14.25" customHeight="1">
      <c r="C453" s="1"/>
    </row>
    <row r="454" ht="14.25" customHeight="1">
      <c r="C454" s="1"/>
    </row>
    <row r="455" ht="14.25" customHeight="1">
      <c r="C455" s="1"/>
    </row>
    <row r="456" ht="14.25" customHeight="1">
      <c r="C456" s="1"/>
    </row>
    <row r="457" ht="14.25" customHeight="1">
      <c r="C457" s="1"/>
    </row>
    <row r="458" ht="14.25" customHeight="1">
      <c r="C458" s="1"/>
    </row>
    <row r="459" ht="14.25" customHeight="1">
      <c r="C459" s="1"/>
    </row>
    <row r="460" ht="14.25" customHeight="1">
      <c r="C460" s="1"/>
    </row>
    <row r="461" ht="14.25" customHeight="1">
      <c r="C461" s="1"/>
    </row>
    <row r="462" ht="14.25" customHeight="1">
      <c r="C462" s="1"/>
    </row>
    <row r="463" ht="14.25" customHeight="1">
      <c r="C463" s="1"/>
    </row>
    <row r="464" ht="14.25" customHeight="1">
      <c r="C464" s="1"/>
    </row>
    <row r="465" ht="14.25" customHeight="1">
      <c r="C465" s="1"/>
    </row>
    <row r="466" ht="14.25" customHeight="1">
      <c r="C466" s="1"/>
    </row>
    <row r="467" ht="14.25" customHeight="1">
      <c r="C467" s="1"/>
    </row>
    <row r="468" ht="14.25" customHeight="1">
      <c r="C468" s="1"/>
    </row>
    <row r="469" ht="14.25" customHeight="1">
      <c r="C469" s="1"/>
    </row>
    <row r="470" ht="14.25" customHeight="1">
      <c r="C470" s="1"/>
    </row>
    <row r="471" ht="14.25" customHeight="1">
      <c r="C471" s="1"/>
    </row>
    <row r="472" ht="14.25" customHeight="1">
      <c r="C472" s="1"/>
    </row>
    <row r="473" ht="14.25" customHeight="1">
      <c r="C473" s="1"/>
    </row>
    <row r="474" ht="14.25" customHeight="1">
      <c r="C474" s="1"/>
    </row>
    <row r="475" ht="14.25" customHeight="1">
      <c r="C475" s="1"/>
    </row>
    <row r="476" ht="14.25" customHeight="1">
      <c r="C476" s="1"/>
    </row>
    <row r="477" ht="14.25" customHeight="1">
      <c r="C477" s="1"/>
    </row>
    <row r="478" ht="14.25" customHeight="1">
      <c r="C478" s="1"/>
    </row>
    <row r="479" ht="14.25" customHeight="1">
      <c r="C479" s="1"/>
    </row>
    <row r="480" ht="14.25" customHeight="1">
      <c r="C480" s="1"/>
    </row>
    <row r="481" ht="14.25" customHeight="1">
      <c r="C481" s="1"/>
    </row>
    <row r="482" ht="14.25" customHeight="1">
      <c r="C482" s="1"/>
    </row>
    <row r="483" ht="14.25" customHeight="1">
      <c r="C483" s="1"/>
    </row>
    <row r="484" ht="14.25" customHeight="1">
      <c r="C484" s="1"/>
    </row>
    <row r="485" ht="14.25" customHeight="1">
      <c r="C485" s="1"/>
    </row>
    <row r="486" ht="14.25" customHeight="1">
      <c r="C486" s="1"/>
    </row>
    <row r="487" ht="14.25" customHeight="1">
      <c r="C487" s="1"/>
    </row>
    <row r="488" ht="14.25" customHeight="1">
      <c r="C488" s="1"/>
    </row>
    <row r="489" ht="14.25" customHeight="1">
      <c r="C489" s="1"/>
    </row>
    <row r="490" ht="14.25" customHeight="1">
      <c r="C490" s="1"/>
    </row>
    <row r="491" ht="14.25" customHeight="1">
      <c r="C491" s="1"/>
    </row>
    <row r="492" ht="14.25" customHeight="1">
      <c r="C492" s="1"/>
    </row>
    <row r="493" ht="14.25" customHeight="1">
      <c r="C493" s="1"/>
    </row>
    <row r="494" ht="14.25" customHeight="1">
      <c r="C494" s="1"/>
    </row>
    <row r="495" ht="14.25" customHeight="1">
      <c r="C495" s="1"/>
    </row>
    <row r="496" ht="14.25" customHeight="1">
      <c r="C496" s="1"/>
    </row>
    <row r="497" ht="14.25" customHeight="1">
      <c r="C497" s="1"/>
    </row>
    <row r="498" ht="14.25" customHeight="1">
      <c r="C498" s="1"/>
    </row>
    <row r="499" ht="14.25" customHeight="1">
      <c r="C499" s="1"/>
    </row>
    <row r="500" ht="14.25" customHeight="1">
      <c r="C500" s="1"/>
    </row>
    <row r="501" ht="14.25" customHeight="1">
      <c r="C501" s="1"/>
    </row>
    <row r="502" ht="14.25" customHeight="1">
      <c r="C502" s="1"/>
    </row>
    <row r="503" ht="14.25" customHeight="1">
      <c r="C503" s="1"/>
    </row>
    <row r="504" ht="14.25" customHeight="1">
      <c r="C504" s="1"/>
    </row>
    <row r="505" ht="14.25" customHeight="1">
      <c r="C505" s="1"/>
    </row>
    <row r="506" ht="14.25" customHeight="1">
      <c r="C506" s="1"/>
    </row>
    <row r="507" ht="14.25" customHeight="1">
      <c r="C507" s="1"/>
    </row>
    <row r="508" ht="14.25" customHeight="1">
      <c r="C508" s="1"/>
    </row>
    <row r="509" ht="14.25" customHeight="1">
      <c r="C509" s="1"/>
    </row>
    <row r="510" ht="14.25" customHeight="1">
      <c r="C510" s="1"/>
    </row>
    <row r="511" ht="14.25" customHeight="1">
      <c r="C511" s="1"/>
    </row>
    <row r="512" ht="14.25" customHeight="1">
      <c r="C512" s="1"/>
    </row>
    <row r="513" ht="14.25" customHeight="1">
      <c r="C513" s="1"/>
    </row>
    <row r="514" ht="14.25" customHeight="1">
      <c r="C514" s="1"/>
    </row>
    <row r="515" ht="14.25" customHeight="1">
      <c r="C515" s="1"/>
    </row>
    <row r="516" ht="14.25" customHeight="1">
      <c r="C516" s="1"/>
    </row>
    <row r="517" ht="14.25" customHeight="1">
      <c r="C517" s="1"/>
    </row>
    <row r="518" ht="14.25" customHeight="1">
      <c r="C518" s="1"/>
    </row>
    <row r="519" ht="14.25" customHeight="1">
      <c r="C519" s="1"/>
    </row>
    <row r="520" ht="14.25" customHeight="1">
      <c r="C520" s="1"/>
    </row>
    <row r="521" ht="14.25" customHeight="1">
      <c r="C521" s="1"/>
    </row>
    <row r="522" ht="14.25" customHeight="1">
      <c r="C522" s="1"/>
    </row>
    <row r="523" ht="14.25" customHeight="1">
      <c r="C523" s="1"/>
    </row>
    <row r="524" ht="14.25" customHeight="1">
      <c r="C524" s="1"/>
    </row>
    <row r="525" ht="14.25" customHeight="1">
      <c r="C525" s="1"/>
    </row>
    <row r="526" ht="14.25" customHeight="1">
      <c r="C526" s="1"/>
    </row>
    <row r="527" ht="14.25" customHeight="1">
      <c r="C527" s="1"/>
    </row>
    <row r="528" ht="14.25" customHeight="1">
      <c r="C528" s="1"/>
    </row>
    <row r="529" ht="14.25" customHeight="1">
      <c r="C529" s="1"/>
    </row>
    <row r="530" ht="14.25" customHeight="1">
      <c r="C530" s="1"/>
    </row>
    <row r="531" ht="14.25" customHeight="1">
      <c r="C531" s="1"/>
    </row>
    <row r="532" ht="14.25" customHeight="1">
      <c r="C532" s="1"/>
    </row>
    <row r="533" ht="14.25" customHeight="1">
      <c r="C533" s="1"/>
    </row>
    <row r="534" ht="14.25" customHeight="1">
      <c r="C534" s="1"/>
    </row>
    <row r="535" ht="14.25" customHeight="1">
      <c r="C535" s="1"/>
    </row>
    <row r="536" ht="14.25" customHeight="1">
      <c r="C536" s="1"/>
    </row>
    <row r="537" ht="14.25" customHeight="1">
      <c r="C537" s="1"/>
    </row>
    <row r="538" ht="14.25" customHeight="1">
      <c r="C538" s="1"/>
    </row>
    <row r="539" ht="14.25" customHeight="1">
      <c r="C539" s="1"/>
    </row>
    <row r="540" ht="14.25" customHeight="1">
      <c r="C540" s="1"/>
    </row>
    <row r="541" ht="14.25" customHeight="1">
      <c r="C541" s="1"/>
    </row>
    <row r="542" ht="14.25" customHeight="1">
      <c r="C542" s="1"/>
    </row>
    <row r="543" ht="14.25" customHeight="1">
      <c r="C543" s="1"/>
    </row>
    <row r="544" ht="14.25" customHeight="1">
      <c r="C544" s="1"/>
    </row>
    <row r="545" ht="14.25" customHeight="1">
      <c r="C545" s="1"/>
    </row>
    <row r="546" ht="14.25" customHeight="1">
      <c r="C546" s="1"/>
    </row>
    <row r="547" ht="14.25" customHeight="1">
      <c r="C547" s="1"/>
    </row>
    <row r="548" ht="14.25" customHeight="1">
      <c r="C548" s="1"/>
    </row>
    <row r="549" ht="14.25" customHeight="1">
      <c r="C549" s="1"/>
    </row>
    <row r="550" ht="14.25" customHeight="1">
      <c r="C550" s="1"/>
    </row>
    <row r="551" ht="14.25" customHeight="1">
      <c r="C551" s="1"/>
    </row>
    <row r="552" ht="14.25" customHeight="1">
      <c r="C552" s="1"/>
    </row>
    <row r="553" ht="14.25" customHeight="1">
      <c r="C553" s="1"/>
    </row>
    <row r="554" ht="14.25" customHeight="1">
      <c r="C554" s="1"/>
    </row>
    <row r="555" ht="14.25" customHeight="1">
      <c r="C555" s="1"/>
    </row>
    <row r="556" ht="14.25" customHeight="1">
      <c r="C556" s="1"/>
    </row>
    <row r="557" ht="14.25" customHeight="1">
      <c r="C557" s="1"/>
    </row>
    <row r="558" ht="14.25" customHeight="1">
      <c r="C558" s="1"/>
    </row>
    <row r="559" ht="14.25" customHeight="1">
      <c r="C559" s="1"/>
    </row>
    <row r="560" ht="14.25" customHeight="1">
      <c r="C560" s="1"/>
    </row>
    <row r="561" ht="14.25" customHeight="1">
      <c r="C561" s="1"/>
    </row>
    <row r="562" ht="14.25" customHeight="1">
      <c r="C562" s="1"/>
    </row>
    <row r="563" ht="14.25" customHeight="1">
      <c r="C563" s="1"/>
    </row>
    <row r="564" ht="14.25" customHeight="1">
      <c r="C564" s="1"/>
    </row>
    <row r="565" ht="14.25" customHeight="1">
      <c r="C565" s="1"/>
    </row>
    <row r="566" ht="14.25" customHeight="1">
      <c r="C566" s="1"/>
    </row>
    <row r="567" ht="14.25" customHeight="1">
      <c r="C567" s="1"/>
    </row>
    <row r="568" ht="14.25" customHeight="1">
      <c r="C568" s="1"/>
    </row>
    <row r="569" ht="14.25" customHeight="1">
      <c r="C569" s="1"/>
    </row>
    <row r="570" ht="14.25" customHeight="1">
      <c r="C570" s="1"/>
    </row>
    <row r="571" ht="14.25" customHeight="1">
      <c r="C571" s="1"/>
    </row>
    <row r="572" ht="14.25" customHeight="1">
      <c r="C572" s="1"/>
    </row>
    <row r="573" ht="14.25" customHeight="1">
      <c r="C573" s="1"/>
    </row>
    <row r="574" ht="14.25" customHeight="1">
      <c r="C574" s="1"/>
    </row>
    <row r="575" ht="14.25" customHeight="1">
      <c r="C575" s="1"/>
    </row>
    <row r="576" ht="14.25" customHeight="1">
      <c r="C576" s="1"/>
    </row>
    <row r="577" ht="14.25" customHeight="1">
      <c r="C577" s="1"/>
    </row>
    <row r="578" ht="14.25" customHeight="1">
      <c r="C578" s="1"/>
    </row>
    <row r="579" ht="14.25" customHeight="1">
      <c r="C579" s="1"/>
    </row>
    <row r="580" ht="14.25" customHeight="1">
      <c r="C580" s="1"/>
    </row>
    <row r="581" ht="14.25" customHeight="1">
      <c r="C581" s="1"/>
    </row>
    <row r="582" ht="14.25" customHeight="1">
      <c r="C582" s="1"/>
    </row>
    <row r="583" ht="14.25" customHeight="1">
      <c r="C583" s="1"/>
    </row>
    <row r="584" ht="14.25" customHeight="1">
      <c r="C584" s="1"/>
    </row>
    <row r="585" ht="14.25" customHeight="1">
      <c r="C585" s="1"/>
    </row>
    <row r="586" ht="14.25" customHeight="1">
      <c r="C586" s="1"/>
    </row>
    <row r="587" ht="14.25" customHeight="1">
      <c r="C587" s="1"/>
    </row>
    <row r="588" ht="14.25" customHeight="1">
      <c r="C588" s="1"/>
    </row>
    <row r="589" ht="14.25" customHeight="1">
      <c r="C589" s="1"/>
    </row>
    <row r="590" ht="14.25" customHeight="1">
      <c r="C590" s="1"/>
    </row>
    <row r="591" ht="14.25" customHeight="1">
      <c r="C591" s="1"/>
    </row>
    <row r="592" ht="14.25" customHeight="1">
      <c r="C592" s="1"/>
    </row>
    <row r="593" ht="14.25" customHeight="1">
      <c r="C593" s="1"/>
    </row>
    <row r="594" ht="14.25" customHeight="1">
      <c r="C594" s="1"/>
    </row>
    <row r="595" ht="14.25" customHeight="1">
      <c r="C595" s="1"/>
    </row>
    <row r="596" ht="14.25" customHeight="1">
      <c r="C596" s="1"/>
    </row>
    <row r="597" ht="14.25" customHeight="1">
      <c r="C597" s="1"/>
    </row>
    <row r="598" ht="14.25" customHeight="1">
      <c r="C598" s="1"/>
    </row>
    <row r="599" ht="14.25" customHeight="1">
      <c r="C599" s="1"/>
    </row>
    <row r="600" ht="14.25" customHeight="1">
      <c r="C600" s="1"/>
    </row>
    <row r="601" ht="14.25" customHeight="1">
      <c r="C601" s="1"/>
    </row>
    <row r="602" ht="14.25" customHeight="1">
      <c r="C602" s="1"/>
    </row>
    <row r="603" ht="14.25" customHeight="1">
      <c r="C603" s="1"/>
    </row>
    <row r="604" ht="14.25" customHeight="1">
      <c r="C604" s="1"/>
    </row>
    <row r="605" ht="14.25" customHeight="1">
      <c r="C605" s="1"/>
    </row>
    <row r="606" ht="14.25" customHeight="1">
      <c r="C606" s="1"/>
    </row>
    <row r="607" ht="14.25" customHeight="1">
      <c r="C607" s="1"/>
    </row>
    <row r="608" ht="14.25" customHeight="1">
      <c r="C608" s="1"/>
    </row>
    <row r="609" ht="14.25" customHeight="1">
      <c r="C609" s="1"/>
    </row>
    <row r="610" ht="14.25" customHeight="1">
      <c r="C610" s="1"/>
    </row>
    <row r="611" ht="14.25" customHeight="1">
      <c r="C611" s="1"/>
    </row>
    <row r="612" ht="14.25" customHeight="1">
      <c r="C612" s="1"/>
    </row>
    <row r="613" ht="14.25" customHeight="1">
      <c r="C613" s="1"/>
    </row>
    <row r="614" ht="14.25" customHeight="1">
      <c r="C614" s="1"/>
    </row>
    <row r="615" ht="14.25" customHeight="1">
      <c r="C615" s="1"/>
    </row>
    <row r="616" ht="14.25" customHeight="1">
      <c r="C616" s="1"/>
    </row>
    <row r="617" ht="14.25" customHeight="1">
      <c r="C617" s="1"/>
    </row>
    <row r="618" ht="14.25" customHeight="1">
      <c r="C618" s="1"/>
    </row>
    <row r="619" ht="14.25" customHeight="1">
      <c r="C619" s="1"/>
    </row>
    <row r="620" ht="14.25" customHeight="1">
      <c r="C620" s="1"/>
    </row>
    <row r="621" ht="14.25" customHeight="1">
      <c r="C621" s="1"/>
    </row>
    <row r="622" ht="14.25" customHeight="1">
      <c r="C622" s="1"/>
    </row>
    <row r="623" ht="14.25" customHeight="1">
      <c r="C623" s="1"/>
    </row>
    <row r="624" ht="14.25" customHeight="1">
      <c r="C624" s="1"/>
    </row>
    <row r="625" ht="14.25" customHeight="1">
      <c r="C625" s="1"/>
    </row>
    <row r="626" ht="14.25" customHeight="1">
      <c r="C626" s="1"/>
    </row>
    <row r="627" ht="14.25" customHeight="1">
      <c r="C627" s="1"/>
    </row>
    <row r="628" ht="14.25" customHeight="1">
      <c r="C628" s="1"/>
    </row>
    <row r="629" ht="14.25" customHeight="1">
      <c r="C629" s="1"/>
    </row>
    <row r="630" ht="14.25" customHeight="1">
      <c r="C630" s="1"/>
    </row>
    <row r="631" ht="14.25" customHeight="1">
      <c r="C631" s="1"/>
    </row>
    <row r="632" ht="14.25" customHeight="1">
      <c r="C632" s="1"/>
    </row>
    <row r="633" ht="14.25" customHeight="1">
      <c r="C633" s="1"/>
    </row>
    <row r="634" ht="14.25" customHeight="1">
      <c r="C634" s="1"/>
    </row>
    <row r="635" ht="14.25" customHeight="1">
      <c r="C635" s="1"/>
    </row>
    <row r="636" ht="14.25" customHeight="1">
      <c r="C636" s="1"/>
    </row>
    <row r="637" ht="14.25" customHeight="1">
      <c r="C637" s="1"/>
    </row>
    <row r="638" ht="14.25" customHeight="1">
      <c r="C638" s="1"/>
    </row>
    <row r="639" ht="14.25" customHeight="1">
      <c r="C639" s="1"/>
    </row>
    <row r="640" ht="14.25" customHeight="1">
      <c r="C640" s="1"/>
    </row>
    <row r="641" ht="14.25" customHeight="1">
      <c r="C641" s="1"/>
    </row>
    <row r="642" ht="14.25" customHeight="1">
      <c r="C642" s="1"/>
    </row>
    <row r="643" ht="14.25" customHeight="1">
      <c r="C643" s="1"/>
    </row>
    <row r="644" ht="14.25" customHeight="1">
      <c r="C644" s="1"/>
    </row>
    <row r="645" ht="14.25" customHeight="1">
      <c r="C645" s="1"/>
    </row>
    <row r="646" ht="14.25" customHeight="1">
      <c r="C646" s="1"/>
    </row>
    <row r="647" ht="14.25" customHeight="1">
      <c r="C647" s="1"/>
    </row>
    <row r="648" ht="14.25" customHeight="1">
      <c r="C648" s="1"/>
    </row>
    <row r="649" ht="14.25" customHeight="1">
      <c r="C649" s="1"/>
    </row>
    <row r="650" ht="14.25" customHeight="1">
      <c r="C650" s="1"/>
    </row>
    <row r="651" ht="14.25" customHeight="1">
      <c r="C651" s="1"/>
    </row>
    <row r="652" ht="14.25" customHeight="1">
      <c r="C652" s="1"/>
    </row>
    <row r="653" ht="14.25" customHeight="1">
      <c r="C653" s="1"/>
    </row>
    <row r="654" ht="14.25" customHeight="1">
      <c r="C654" s="1"/>
    </row>
    <row r="655" ht="14.25" customHeight="1">
      <c r="C655" s="1"/>
    </row>
    <row r="656" ht="14.25" customHeight="1">
      <c r="C656" s="1"/>
    </row>
    <row r="657" ht="14.25" customHeight="1">
      <c r="C657" s="1"/>
    </row>
    <row r="658" ht="14.25" customHeight="1">
      <c r="C658" s="1"/>
    </row>
    <row r="659" ht="14.25" customHeight="1">
      <c r="C659" s="1"/>
    </row>
    <row r="660" ht="14.25" customHeight="1">
      <c r="C660" s="1"/>
    </row>
    <row r="661" ht="14.25" customHeight="1">
      <c r="C661" s="1"/>
    </row>
    <row r="662" ht="14.25" customHeight="1">
      <c r="C662" s="1"/>
    </row>
    <row r="663" ht="14.25" customHeight="1">
      <c r="C663" s="1"/>
    </row>
    <row r="664" ht="14.25" customHeight="1">
      <c r="C664" s="1"/>
    </row>
    <row r="665" ht="14.25" customHeight="1">
      <c r="C665" s="1"/>
    </row>
    <row r="666" ht="14.25" customHeight="1">
      <c r="C666" s="1"/>
    </row>
    <row r="667" ht="14.25" customHeight="1">
      <c r="C667" s="1"/>
    </row>
    <row r="668" ht="14.25" customHeight="1">
      <c r="C668" s="1"/>
    </row>
    <row r="669" ht="14.25" customHeight="1">
      <c r="C669" s="1"/>
    </row>
    <row r="670" ht="14.25" customHeight="1">
      <c r="C670" s="1"/>
    </row>
    <row r="671" ht="14.25" customHeight="1">
      <c r="C671" s="1"/>
    </row>
    <row r="672" ht="14.25" customHeight="1">
      <c r="C672" s="1"/>
    </row>
    <row r="673" ht="14.25" customHeight="1">
      <c r="C673" s="1"/>
    </row>
    <row r="674" ht="14.25" customHeight="1">
      <c r="C674" s="1"/>
    </row>
    <row r="675" ht="14.25" customHeight="1">
      <c r="C675" s="1"/>
    </row>
    <row r="676" ht="14.25" customHeight="1">
      <c r="C676" s="1"/>
    </row>
    <row r="677" ht="14.25" customHeight="1">
      <c r="C677" s="1"/>
    </row>
    <row r="678" ht="14.25" customHeight="1">
      <c r="C678" s="1"/>
    </row>
    <row r="679" ht="14.25" customHeight="1">
      <c r="C679" s="1"/>
    </row>
    <row r="680" ht="14.25" customHeight="1">
      <c r="C680" s="1"/>
    </row>
    <row r="681" ht="14.25" customHeight="1">
      <c r="C681" s="1"/>
    </row>
    <row r="682" ht="14.25" customHeight="1">
      <c r="C682" s="1"/>
    </row>
    <row r="683" ht="14.25" customHeight="1">
      <c r="C683" s="1"/>
    </row>
    <row r="684" ht="14.25" customHeight="1">
      <c r="C684" s="1"/>
    </row>
    <row r="685" ht="14.25" customHeight="1">
      <c r="C685" s="1"/>
    </row>
    <row r="686" ht="14.25" customHeight="1">
      <c r="C686" s="1"/>
    </row>
    <row r="687" ht="14.25" customHeight="1">
      <c r="C687" s="1"/>
    </row>
    <row r="688" ht="14.25" customHeight="1">
      <c r="C688" s="1"/>
    </row>
    <row r="689" ht="14.25" customHeight="1">
      <c r="C689" s="1"/>
    </row>
    <row r="690" ht="14.25" customHeight="1">
      <c r="C690" s="1"/>
    </row>
    <row r="691" ht="14.25" customHeight="1">
      <c r="C691" s="1"/>
    </row>
    <row r="692" ht="14.25" customHeight="1">
      <c r="C692" s="1"/>
    </row>
    <row r="693" ht="14.25" customHeight="1">
      <c r="C693" s="1"/>
    </row>
    <row r="694" ht="14.25" customHeight="1">
      <c r="C694" s="1"/>
    </row>
    <row r="695" ht="14.25" customHeight="1">
      <c r="C695" s="1"/>
    </row>
    <row r="696" ht="14.25" customHeight="1">
      <c r="C696" s="1"/>
    </row>
    <row r="697" ht="14.25" customHeight="1">
      <c r="C697" s="1"/>
    </row>
    <row r="698" ht="14.25" customHeight="1">
      <c r="C698" s="1"/>
    </row>
    <row r="699" ht="14.25" customHeight="1">
      <c r="C699" s="1"/>
    </row>
    <row r="700" ht="14.25" customHeight="1">
      <c r="C700" s="1"/>
    </row>
    <row r="701" ht="14.25" customHeight="1">
      <c r="C701" s="1"/>
    </row>
    <row r="702" ht="14.25" customHeight="1">
      <c r="C702" s="1"/>
    </row>
    <row r="703" ht="14.25" customHeight="1">
      <c r="C703" s="1"/>
    </row>
    <row r="704" ht="14.25" customHeight="1">
      <c r="C704" s="1"/>
    </row>
    <row r="705" ht="14.25" customHeight="1">
      <c r="C705" s="1"/>
    </row>
    <row r="706" ht="14.25" customHeight="1">
      <c r="C706" s="1"/>
    </row>
    <row r="707" ht="14.25" customHeight="1">
      <c r="C707" s="1"/>
    </row>
    <row r="708" ht="14.25" customHeight="1">
      <c r="C708" s="1"/>
    </row>
    <row r="709" ht="14.25" customHeight="1">
      <c r="C709" s="1"/>
    </row>
    <row r="710" ht="14.25" customHeight="1">
      <c r="C710" s="1"/>
    </row>
    <row r="711" ht="14.25" customHeight="1">
      <c r="C711" s="1"/>
    </row>
    <row r="712" ht="14.25" customHeight="1">
      <c r="C712" s="1"/>
    </row>
    <row r="713" ht="14.25" customHeight="1">
      <c r="C713" s="1"/>
    </row>
    <row r="714" ht="14.25" customHeight="1">
      <c r="C714" s="1"/>
    </row>
    <row r="715" ht="14.25" customHeight="1">
      <c r="C715" s="1"/>
    </row>
    <row r="716" ht="14.25" customHeight="1">
      <c r="C716" s="1"/>
    </row>
    <row r="717" ht="14.25" customHeight="1">
      <c r="C717" s="1"/>
    </row>
    <row r="718" ht="14.25" customHeight="1">
      <c r="C718" s="1"/>
    </row>
    <row r="719" ht="14.25" customHeight="1">
      <c r="C719" s="1"/>
    </row>
    <row r="720" ht="14.25" customHeight="1">
      <c r="C720" s="1"/>
    </row>
    <row r="721" ht="14.25" customHeight="1">
      <c r="C721" s="1"/>
    </row>
    <row r="722" ht="14.25" customHeight="1">
      <c r="C722" s="1"/>
    </row>
    <row r="723" ht="14.25" customHeight="1">
      <c r="C723" s="1"/>
    </row>
    <row r="724" ht="14.25" customHeight="1">
      <c r="C724" s="1"/>
    </row>
    <row r="725" ht="14.25" customHeight="1">
      <c r="C725" s="1"/>
    </row>
    <row r="726" ht="14.25" customHeight="1">
      <c r="C726" s="1"/>
    </row>
    <row r="727" ht="14.25" customHeight="1">
      <c r="C727" s="1"/>
    </row>
    <row r="728" ht="14.25" customHeight="1">
      <c r="C728" s="1"/>
    </row>
    <row r="729" ht="14.25" customHeight="1">
      <c r="C729" s="1"/>
    </row>
    <row r="730" ht="14.25" customHeight="1">
      <c r="C730" s="1"/>
    </row>
    <row r="731" ht="14.25" customHeight="1">
      <c r="C731" s="1"/>
    </row>
    <row r="732" ht="14.25" customHeight="1">
      <c r="C732" s="1"/>
    </row>
    <row r="733" ht="14.25" customHeight="1">
      <c r="C733" s="1"/>
    </row>
    <row r="734" ht="14.25" customHeight="1">
      <c r="C734" s="1"/>
    </row>
    <row r="735" ht="14.25" customHeight="1">
      <c r="C735" s="1"/>
    </row>
    <row r="736" ht="14.25" customHeight="1">
      <c r="C736" s="1"/>
    </row>
    <row r="737" ht="14.25" customHeight="1">
      <c r="C737" s="1"/>
    </row>
    <row r="738" ht="14.25" customHeight="1">
      <c r="C738" s="1"/>
    </row>
    <row r="739" ht="14.25" customHeight="1">
      <c r="C739" s="1"/>
    </row>
    <row r="740" ht="14.25" customHeight="1">
      <c r="C740" s="1"/>
    </row>
    <row r="741" ht="14.25" customHeight="1">
      <c r="C741" s="1"/>
    </row>
    <row r="742" ht="14.25" customHeight="1">
      <c r="C742" s="1"/>
    </row>
    <row r="743" ht="14.25" customHeight="1">
      <c r="C743" s="1"/>
    </row>
    <row r="744" ht="14.25" customHeight="1">
      <c r="C744" s="1"/>
    </row>
    <row r="745" ht="14.25" customHeight="1">
      <c r="C745" s="1"/>
    </row>
    <row r="746" ht="14.25" customHeight="1">
      <c r="C746" s="1"/>
    </row>
    <row r="747" ht="14.25" customHeight="1">
      <c r="C747" s="1"/>
    </row>
    <row r="748" ht="14.25" customHeight="1">
      <c r="C748" s="1"/>
    </row>
    <row r="749" ht="14.25" customHeight="1">
      <c r="C749" s="1"/>
    </row>
    <row r="750" ht="14.25" customHeight="1">
      <c r="C750" s="1"/>
    </row>
    <row r="751" ht="14.25" customHeight="1">
      <c r="C751" s="1"/>
    </row>
    <row r="752" ht="14.25" customHeight="1">
      <c r="C752" s="1"/>
    </row>
    <row r="753" ht="14.25" customHeight="1">
      <c r="C753" s="1"/>
    </row>
    <row r="754" ht="14.25" customHeight="1">
      <c r="C754" s="1"/>
    </row>
    <row r="755" ht="14.25" customHeight="1">
      <c r="C755" s="1"/>
    </row>
    <row r="756" ht="14.25" customHeight="1">
      <c r="C756" s="1"/>
    </row>
    <row r="757" ht="14.25" customHeight="1">
      <c r="C757" s="1"/>
    </row>
    <row r="758" ht="14.25" customHeight="1">
      <c r="C758" s="1"/>
    </row>
    <row r="759" ht="14.25" customHeight="1">
      <c r="C759" s="1"/>
    </row>
    <row r="760" ht="14.25" customHeight="1">
      <c r="C760" s="1"/>
    </row>
    <row r="761" ht="14.25" customHeight="1">
      <c r="C761" s="1"/>
    </row>
    <row r="762" ht="14.25" customHeight="1">
      <c r="C762" s="1"/>
    </row>
    <row r="763" ht="14.25" customHeight="1">
      <c r="C763" s="1"/>
    </row>
    <row r="764" ht="14.25" customHeight="1">
      <c r="C764" s="1"/>
    </row>
    <row r="765" ht="14.25" customHeight="1">
      <c r="C765" s="1"/>
    </row>
    <row r="766" ht="14.25" customHeight="1">
      <c r="C766" s="1"/>
    </row>
    <row r="767" ht="14.25" customHeight="1">
      <c r="C767" s="1"/>
    </row>
    <row r="768" ht="14.25" customHeight="1">
      <c r="C768" s="1"/>
    </row>
    <row r="769" ht="14.25" customHeight="1">
      <c r="C769" s="1"/>
    </row>
    <row r="770" ht="14.25" customHeight="1">
      <c r="C770" s="1"/>
    </row>
    <row r="771" ht="14.25" customHeight="1">
      <c r="C771" s="1"/>
    </row>
    <row r="772" ht="14.25" customHeight="1">
      <c r="C772" s="1"/>
    </row>
    <row r="773" ht="14.25" customHeight="1">
      <c r="C773" s="1"/>
    </row>
    <row r="774" ht="14.25" customHeight="1">
      <c r="C774" s="1"/>
    </row>
    <row r="775" ht="14.25" customHeight="1">
      <c r="C775" s="1"/>
    </row>
    <row r="776" ht="14.25" customHeight="1">
      <c r="C776" s="1"/>
    </row>
    <row r="777" ht="14.25" customHeight="1">
      <c r="C777" s="1"/>
    </row>
    <row r="778" ht="14.25" customHeight="1">
      <c r="C778" s="1"/>
    </row>
    <row r="779" ht="14.25" customHeight="1">
      <c r="C779" s="1"/>
    </row>
    <row r="780" ht="14.25" customHeight="1">
      <c r="C780" s="1"/>
    </row>
    <row r="781" ht="14.25" customHeight="1">
      <c r="C781" s="1"/>
    </row>
    <row r="782" ht="14.25" customHeight="1">
      <c r="C782" s="1"/>
    </row>
    <row r="783" ht="14.25" customHeight="1">
      <c r="C783" s="1"/>
    </row>
    <row r="784" ht="14.25" customHeight="1">
      <c r="C784" s="1"/>
    </row>
    <row r="785" ht="14.25" customHeight="1">
      <c r="C785" s="1"/>
    </row>
    <row r="786" ht="14.25" customHeight="1">
      <c r="C786" s="1"/>
    </row>
    <row r="787" ht="14.25" customHeight="1">
      <c r="C787" s="1"/>
    </row>
    <row r="788" ht="14.25" customHeight="1">
      <c r="C788" s="1"/>
    </row>
    <row r="789" ht="14.25" customHeight="1">
      <c r="C789" s="1"/>
    </row>
    <row r="790" ht="14.25" customHeight="1">
      <c r="C790" s="1"/>
    </row>
    <row r="791" ht="14.25" customHeight="1">
      <c r="C791" s="1"/>
    </row>
    <row r="792" ht="14.25" customHeight="1">
      <c r="C792" s="1"/>
    </row>
    <row r="793" ht="14.25" customHeight="1">
      <c r="C793" s="1"/>
    </row>
    <row r="794" ht="14.25" customHeight="1">
      <c r="C794" s="1"/>
    </row>
    <row r="795" ht="14.25" customHeight="1">
      <c r="C795" s="1"/>
    </row>
    <row r="796" ht="14.25" customHeight="1">
      <c r="C796" s="1"/>
    </row>
    <row r="797" ht="14.25" customHeight="1">
      <c r="C797" s="1"/>
    </row>
    <row r="798" ht="14.25" customHeight="1">
      <c r="C798" s="1"/>
    </row>
    <row r="799" ht="14.25" customHeight="1">
      <c r="C799" s="1"/>
    </row>
    <row r="800" ht="14.25" customHeight="1">
      <c r="C800" s="1"/>
    </row>
    <row r="801" ht="14.25" customHeight="1">
      <c r="C801" s="1"/>
    </row>
    <row r="802" ht="14.25" customHeight="1">
      <c r="C802" s="1"/>
    </row>
    <row r="803" ht="14.25" customHeight="1">
      <c r="C803" s="1"/>
    </row>
    <row r="804" ht="14.25" customHeight="1">
      <c r="C804" s="1"/>
    </row>
    <row r="805" ht="14.25" customHeight="1">
      <c r="C805" s="1"/>
    </row>
    <row r="806" ht="14.25" customHeight="1">
      <c r="C806" s="1"/>
    </row>
    <row r="807" ht="14.25" customHeight="1">
      <c r="C807" s="1"/>
    </row>
    <row r="808" ht="14.25" customHeight="1">
      <c r="C808" s="1"/>
    </row>
    <row r="809" ht="14.25" customHeight="1">
      <c r="C809" s="1"/>
    </row>
    <row r="810" ht="14.25" customHeight="1">
      <c r="C810" s="1"/>
    </row>
    <row r="811" ht="14.25" customHeight="1">
      <c r="C811" s="1"/>
    </row>
    <row r="812" ht="14.25" customHeight="1">
      <c r="C812" s="1"/>
    </row>
    <row r="813" ht="14.25" customHeight="1">
      <c r="C813" s="1"/>
    </row>
    <row r="814" ht="14.25" customHeight="1">
      <c r="C814" s="1"/>
    </row>
    <row r="815" ht="14.25" customHeight="1">
      <c r="C815" s="1"/>
    </row>
    <row r="816" ht="14.25" customHeight="1">
      <c r="C816" s="1"/>
    </row>
    <row r="817" ht="14.25" customHeight="1">
      <c r="C817" s="1"/>
    </row>
    <row r="818" ht="14.25" customHeight="1">
      <c r="C818" s="1"/>
    </row>
    <row r="819" ht="14.25" customHeight="1">
      <c r="C819" s="1"/>
    </row>
    <row r="820" ht="14.25" customHeight="1">
      <c r="C820" s="1"/>
    </row>
    <row r="821" ht="14.25" customHeight="1">
      <c r="C821" s="1"/>
    </row>
    <row r="822" ht="14.25" customHeight="1">
      <c r="C822" s="1"/>
    </row>
    <row r="823" ht="14.25" customHeight="1">
      <c r="C823" s="1"/>
    </row>
    <row r="824" ht="14.25" customHeight="1">
      <c r="C824" s="1"/>
    </row>
    <row r="825" ht="14.25" customHeight="1">
      <c r="C825" s="1"/>
    </row>
    <row r="826" ht="14.25" customHeight="1">
      <c r="C826" s="1"/>
    </row>
    <row r="827" ht="14.25" customHeight="1">
      <c r="C827" s="1"/>
    </row>
    <row r="828" ht="14.25" customHeight="1">
      <c r="C828" s="1"/>
    </row>
    <row r="829" ht="14.25" customHeight="1">
      <c r="C829" s="1"/>
    </row>
    <row r="830" ht="14.25" customHeight="1">
      <c r="C830" s="1"/>
    </row>
    <row r="831" ht="14.25" customHeight="1">
      <c r="C831" s="1"/>
    </row>
    <row r="832" ht="14.25" customHeight="1">
      <c r="C832" s="1"/>
    </row>
    <row r="833" ht="14.25" customHeight="1">
      <c r="C833" s="1"/>
    </row>
    <row r="834" ht="14.25" customHeight="1">
      <c r="C834" s="1"/>
    </row>
    <row r="835" ht="14.25" customHeight="1">
      <c r="C835" s="1"/>
    </row>
    <row r="836" ht="14.25" customHeight="1">
      <c r="C836" s="1"/>
    </row>
    <row r="837" ht="14.25" customHeight="1">
      <c r="C837" s="1"/>
    </row>
    <row r="838" ht="14.25" customHeight="1">
      <c r="C838" s="1"/>
    </row>
    <row r="839" ht="14.25" customHeight="1">
      <c r="C839" s="1"/>
    </row>
    <row r="840" ht="14.25" customHeight="1">
      <c r="C840" s="1"/>
    </row>
    <row r="841" ht="14.25" customHeight="1">
      <c r="C841" s="1"/>
    </row>
    <row r="842" ht="14.25" customHeight="1">
      <c r="C842" s="1"/>
    </row>
    <row r="843" ht="14.25" customHeight="1">
      <c r="C843" s="1"/>
    </row>
    <row r="844" ht="14.25" customHeight="1">
      <c r="C844" s="1"/>
    </row>
    <row r="845" ht="14.25" customHeight="1">
      <c r="C845" s="1"/>
    </row>
    <row r="846" ht="14.25" customHeight="1">
      <c r="C846" s="1"/>
    </row>
    <row r="847" ht="14.25" customHeight="1">
      <c r="C847" s="1"/>
    </row>
    <row r="848" ht="14.25" customHeight="1">
      <c r="C848" s="1"/>
    </row>
    <row r="849" ht="14.25" customHeight="1">
      <c r="C849" s="1"/>
    </row>
    <row r="850" ht="14.25" customHeight="1">
      <c r="C850" s="1"/>
    </row>
    <row r="851" ht="14.25" customHeight="1">
      <c r="C851" s="1"/>
    </row>
    <row r="852" ht="14.25" customHeight="1">
      <c r="C852" s="1"/>
    </row>
    <row r="853" ht="14.25" customHeight="1">
      <c r="C853" s="1"/>
    </row>
    <row r="854" ht="14.25" customHeight="1">
      <c r="C854" s="1"/>
    </row>
    <row r="855" ht="14.25" customHeight="1">
      <c r="C855" s="1"/>
    </row>
    <row r="856" ht="14.25" customHeight="1">
      <c r="C856" s="1"/>
    </row>
    <row r="857" ht="14.25" customHeight="1">
      <c r="C857" s="1"/>
    </row>
    <row r="858" ht="14.25" customHeight="1">
      <c r="C858" s="1"/>
    </row>
    <row r="859" ht="14.25" customHeight="1">
      <c r="C859" s="1"/>
    </row>
    <row r="860" ht="14.25" customHeight="1">
      <c r="C860" s="1"/>
    </row>
    <row r="861" ht="14.25" customHeight="1">
      <c r="C861" s="1"/>
    </row>
    <row r="862" ht="14.25" customHeight="1">
      <c r="C862" s="1"/>
    </row>
    <row r="863" ht="14.25" customHeight="1">
      <c r="C863" s="1"/>
    </row>
    <row r="864" ht="14.25" customHeight="1">
      <c r="C864" s="1"/>
    </row>
    <row r="865" ht="14.25" customHeight="1">
      <c r="C865" s="1"/>
    </row>
    <row r="866" ht="14.25" customHeight="1">
      <c r="C866" s="1"/>
    </row>
    <row r="867" ht="14.25" customHeight="1">
      <c r="C867" s="1"/>
    </row>
    <row r="868" ht="14.25" customHeight="1">
      <c r="C868" s="1"/>
    </row>
    <row r="869" ht="14.25" customHeight="1">
      <c r="C869" s="1"/>
    </row>
    <row r="870" ht="14.25" customHeight="1">
      <c r="C870" s="1"/>
    </row>
    <row r="871" ht="14.25" customHeight="1">
      <c r="C871" s="1"/>
    </row>
    <row r="872" ht="14.25" customHeight="1">
      <c r="C872" s="1"/>
    </row>
    <row r="873" ht="14.25" customHeight="1">
      <c r="C873" s="1"/>
    </row>
    <row r="874" ht="14.25" customHeight="1">
      <c r="C874" s="1"/>
    </row>
    <row r="875" ht="14.25" customHeight="1">
      <c r="C875" s="1"/>
    </row>
    <row r="876" ht="14.25" customHeight="1">
      <c r="C876" s="1"/>
    </row>
    <row r="877" ht="14.25" customHeight="1">
      <c r="C877" s="1"/>
    </row>
    <row r="878" ht="14.25" customHeight="1">
      <c r="C878" s="1"/>
    </row>
    <row r="879" ht="14.25" customHeight="1">
      <c r="C879" s="1"/>
    </row>
    <row r="880" ht="14.25" customHeight="1">
      <c r="C880" s="1"/>
    </row>
    <row r="881" ht="14.25" customHeight="1">
      <c r="C881" s="1"/>
    </row>
    <row r="882" ht="14.25" customHeight="1">
      <c r="C882" s="1"/>
    </row>
    <row r="883" ht="14.25" customHeight="1">
      <c r="C883" s="1"/>
    </row>
    <row r="884" ht="14.25" customHeight="1">
      <c r="C884" s="1"/>
    </row>
    <row r="885" ht="14.25" customHeight="1">
      <c r="C885" s="1"/>
    </row>
    <row r="886" ht="14.25" customHeight="1">
      <c r="C886" s="1"/>
    </row>
    <row r="887" ht="14.25" customHeight="1">
      <c r="C887" s="1"/>
    </row>
    <row r="888" ht="14.25" customHeight="1">
      <c r="C888" s="1"/>
    </row>
    <row r="889" ht="14.25" customHeight="1">
      <c r="C889" s="1"/>
    </row>
    <row r="890" ht="14.25" customHeight="1">
      <c r="C890" s="1"/>
    </row>
    <row r="891" ht="14.25" customHeight="1">
      <c r="C891" s="1"/>
    </row>
    <row r="892" ht="14.25" customHeight="1">
      <c r="C892" s="1"/>
    </row>
    <row r="893" ht="14.25" customHeight="1">
      <c r="C893" s="1"/>
    </row>
    <row r="894" ht="14.25" customHeight="1">
      <c r="C894" s="1"/>
    </row>
    <row r="895" ht="14.25" customHeight="1">
      <c r="C895" s="1"/>
    </row>
    <row r="896" ht="14.25" customHeight="1">
      <c r="C896" s="1"/>
    </row>
    <row r="897" ht="14.25" customHeight="1">
      <c r="C897" s="1"/>
    </row>
    <row r="898" ht="14.25" customHeight="1">
      <c r="C898" s="1"/>
    </row>
    <row r="899" ht="14.25" customHeight="1">
      <c r="C899" s="1"/>
    </row>
    <row r="900" ht="14.25" customHeight="1">
      <c r="C900" s="1"/>
    </row>
    <row r="901" ht="14.25" customHeight="1">
      <c r="C901" s="1"/>
    </row>
    <row r="902" ht="14.25" customHeight="1">
      <c r="C902" s="1"/>
    </row>
    <row r="903" ht="14.25" customHeight="1">
      <c r="C903" s="1"/>
    </row>
    <row r="904" ht="14.25" customHeight="1">
      <c r="C904" s="1"/>
    </row>
    <row r="905" ht="14.25" customHeight="1">
      <c r="C905" s="1"/>
    </row>
    <row r="906" ht="14.25" customHeight="1">
      <c r="C906" s="1"/>
    </row>
    <row r="907" ht="14.25" customHeight="1">
      <c r="C907" s="1"/>
    </row>
    <row r="908" ht="14.25" customHeight="1">
      <c r="C908" s="1"/>
    </row>
    <row r="909" ht="14.25" customHeight="1">
      <c r="C909" s="1"/>
    </row>
    <row r="910" ht="14.25" customHeight="1">
      <c r="C910" s="1"/>
    </row>
    <row r="911" ht="14.25" customHeight="1">
      <c r="C911" s="1"/>
    </row>
    <row r="912" ht="14.25" customHeight="1">
      <c r="C912" s="1"/>
    </row>
    <row r="913" ht="14.25" customHeight="1">
      <c r="C913" s="1"/>
    </row>
    <row r="914" ht="14.25" customHeight="1">
      <c r="C914" s="1"/>
    </row>
    <row r="915" ht="14.25" customHeight="1">
      <c r="C915" s="1"/>
    </row>
    <row r="916" ht="14.25" customHeight="1">
      <c r="C916" s="1"/>
    </row>
    <row r="917" ht="14.25" customHeight="1">
      <c r="C917" s="1"/>
    </row>
    <row r="918" ht="14.25" customHeight="1">
      <c r="C918" s="1"/>
    </row>
    <row r="919" ht="14.25" customHeight="1">
      <c r="C919" s="1"/>
    </row>
    <row r="920" ht="14.25" customHeight="1">
      <c r="C920" s="1"/>
    </row>
    <row r="921" ht="14.25" customHeight="1">
      <c r="C921" s="1"/>
    </row>
    <row r="922" ht="14.25" customHeight="1">
      <c r="C922" s="1"/>
    </row>
    <row r="923" ht="14.25" customHeight="1">
      <c r="C923" s="1"/>
    </row>
    <row r="924" ht="14.25" customHeight="1">
      <c r="C924" s="1"/>
    </row>
    <row r="925" ht="14.25" customHeight="1">
      <c r="C925" s="1"/>
    </row>
    <row r="926" ht="14.25" customHeight="1">
      <c r="C926" s="1"/>
    </row>
    <row r="927" ht="14.25" customHeight="1">
      <c r="C927" s="1"/>
    </row>
    <row r="928" ht="14.25" customHeight="1">
      <c r="C928" s="1"/>
    </row>
    <row r="929" ht="14.25" customHeight="1">
      <c r="C929" s="1"/>
    </row>
    <row r="930" ht="14.25" customHeight="1">
      <c r="C930" s="1"/>
    </row>
    <row r="931" ht="14.25" customHeight="1">
      <c r="C931" s="1"/>
    </row>
    <row r="932" ht="14.25" customHeight="1">
      <c r="C932" s="1"/>
    </row>
    <row r="933" ht="14.25" customHeight="1">
      <c r="C933" s="1"/>
    </row>
    <row r="934" ht="14.25" customHeight="1">
      <c r="C934" s="1"/>
    </row>
    <row r="935" ht="14.25" customHeight="1">
      <c r="C935" s="1"/>
    </row>
    <row r="936" ht="14.25" customHeight="1">
      <c r="C936" s="1"/>
    </row>
    <row r="937" ht="14.25" customHeight="1">
      <c r="C937" s="1"/>
    </row>
    <row r="938" ht="14.25" customHeight="1">
      <c r="C938" s="1"/>
    </row>
    <row r="939" ht="14.25" customHeight="1">
      <c r="C939" s="1"/>
    </row>
    <row r="940" ht="14.25" customHeight="1">
      <c r="C940" s="1"/>
    </row>
    <row r="941" ht="14.25" customHeight="1">
      <c r="C941" s="1"/>
    </row>
    <row r="942" ht="14.25" customHeight="1">
      <c r="C942" s="1"/>
    </row>
    <row r="943" ht="14.25" customHeight="1">
      <c r="C943" s="1"/>
    </row>
    <row r="944" ht="14.25" customHeight="1">
      <c r="C944" s="1"/>
    </row>
    <row r="945" ht="14.25" customHeight="1">
      <c r="C945" s="1"/>
    </row>
    <row r="946" ht="14.25" customHeight="1">
      <c r="C946" s="1"/>
    </row>
    <row r="947" ht="14.25" customHeight="1">
      <c r="C947" s="1"/>
    </row>
    <row r="948" ht="14.25" customHeight="1">
      <c r="C948" s="1"/>
    </row>
    <row r="949" ht="14.25" customHeight="1">
      <c r="C949" s="1"/>
    </row>
    <row r="950" ht="14.25" customHeight="1">
      <c r="C950" s="1"/>
    </row>
    <row r="951" ht="14.25" customHeight="1">
      <c r="C951" s="1"/>
    </row>
    <row r="952" ht="14.25" customHeight="1">
      <c r="C952" s="1"/>
    </row>
    <row r="953" ht="14.25" customHeight="1">
      <c r="C953" s="1"/>
    </row>
    <row r="954" ht="14.25" customHeight="1">
      <c r="C954" s="1"/>
    </row>
    <row r="955" ht="14.25" customHeight="1">
      <c r="C955" s="1"/>
    </row>
    <row r="956" ht="14.25" customHeight="1">
      <c r="C956" s="1"/>
    </row>
    <row r="957" ht="14.25" customHeight="1">
      <c r="C957" s="1"/>
    </row>
    <row r="958" ht="14.25" customHeight="1">
      <c r="C958" s="1"/>
    </row>
    <row r="959" ht="14.25" customHeight="1">
      <c r="C959" s="1"/>
    </row>
    <row r="960" ht="14.25" customHeight="1">
      <c r="C960" s="1"/>
    </row>
    <row r="961" ht="14.25" customHeight="1">
      <c r="C961" s="1"/>
    </row>
    <row r="962" ht="14.25" customHeight="1">
      <c r="C962" s="1"/>
    </row>
    <row r="963" ht="14.25" customHeight="1">
      <c r="C963" s="1"/>
    </row>
    <row r="964" ht="14.25" customHeight="1">
      <c r="C964" s="1"/>
    </row>
    <row r="965" ht="14.25" customHeight="1">
      <c r="C965" s="1"/>
    </row>
    <row r="966" ht="14.25" customHeight="1">
      <c r="C966" s="1"/>
    </row>
    <row r="967" ht="14.25" customHeight="1">
      <c r="C967" s="1"/>
    </row>
    <row r="968" ht="14.25" customHeight="1">
      <c r="C968" s="1"/>
    </row>
    <row r="969" ht="14.25" customHeight="1">
      <c r="C969" s="1"/>
    </row>
    <row r="970" ht="14.25" customHeight="1">
      <c r="C970" s="1"/>
    </row>
    <row r="971" ht="14.25" customHeight="1">
      <c r="C971" s="1"/>
    </row>
    <row r="972" ht="14.25" customHeight="1">
      <c r="C972" s="1"/>
    </row>
    <row r="973" ht="14.25" customHeight="1">
      <c r="C973" s="1"/>
    </row>
    <row r="974" ht="14.25" customHeight="1">
      <c r="C974" s="1"/>
    </row>
    <row r="975" ht="14.25" customHeight="1">
      <c r="C975" s="1"/>
    </row>
    <row r="976" ht="14.25" customHeight="1">
      <c r="C976" s="1"/>
    </row>
    <row r="977" ht="14.25" customHeight="1">
      <c r="C977" s="1"/>
    </row>
    <row r="978" ht="14.25" customHeight="1">
      <c r="C978" s="1"/>
    </row>
    <row r="979" ht="14.25" customHeight="1">
      <c r="C979" s="1"/>
    </row>
    <row r="980" ht="14.25" customHeight="1">
      <c r="C980" s="1"/>
    </row>
    <row r="981" ht="14.25" customHeight="1">
      <c r="C981" s="1"/>
    </row>
    <row r="982" ht="14.25" customHeight="1">
      <c r="C982" s="1"/>
    </row>
    <row r="983" ht="14.25" customHeight="1">
      <c r="C983" s="1"/>
    </row>
    <row r="984" ht="14.25" customHeight="1">
      <c r="C984" s="1"/>
    </row>
    <row r="985" ht="14.25" customHeight="1">
      <c r="C985" s="1"/>
    </row>
    <row r="986" ht="14.25" customHeight="1">
      <c r="C986" s="1"/>
    </row>
    <row r="987" ht="14.25" customHeight="1">
      <c r="C987" s="1"/>
    </row>
    <row r="988" ht="14.25" customHeight="1">
      <c r="C988" s="1"/>
    </row>
    <row r="989" ht="14.25" customHeight="1">
      <c r="C989" s="1"/>
    </row>
    <row r="990" ht="14.25" customHeight="1">
      <c r="C990" s="1"/>
    </row>
    <row r="991" ht="14.25" customHeight="1">
      <c r="C991" s="1"/>
    </row>
    <row r="992" ht="14.25" customHeight="1">
      <c r="C992" s="1"/>
    </row>
    <row r="993" ht="14.25" customHeight="1">
      <c r="C993" s="1"/>
    </row>
    <row r="994" ht="14.25" customHeight="1">
      <c r="C994" s="1"/>
    </row>
    <row r="995" ht="14.25" customHeight="1">
      <c r="C995" s="1"/>
    </row>
    <row r="996" ht="14.25" customHeight="1">
      <c r="C996" s="1"/>
    </row>
    <row r="997" ht="14.25" customHeight="1">
      <c r="C997" s="1"/>
    </row>
    <row r="998" ht="14.25" customHeight="1">
      <c r="C998" s="1"/>
    </row>
    <row r="999" ht="14.25" customHeight="1">
      <c r="C999" s="1"/>
    </row>
    <row r="1000" ht="14.25" customHeight="1">
      <c r="C1000" s="1"/>
    </row>
  </sheetData>
  <printOptions/>
  <pageMargins bottom="0.75" footer="0.0" header="0.0" left="0.7" right="0.7" top="0.75"/>
  <pageSetup orientation="landscape"/>
  <drawing r:id="rId2"/>
  <legacyDrawing r:id="rId3"/>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2.43"/>
    <col customWidth="1" min="2" max="2" width="94.43"/>
    <col customWidth="1" min="3" max="26" width="8.71"/>
  </cols>
  <sheetData>
    <row r="1" ht="14.25" customHeight="1">
      <c r="A1" s="19" t="s">
        <v>688</v>
      </c>
      <c r="B1" s="4" t="s">
        <v>689</v>
      </c>
      <c r="C1" s="20"/>
      <c r="D1" s="20"/>
      <c r="E1" s="20"/>
      <c r="F1" s="20"/>
      <c r="G1" s="20"/>
      <c r="H1" s="20"/>
      <c r="I1" s="20"/>
      <c r="J1" s="20"/>
      <c r="K1" s="20"/>
      <c r="L1" s="20"/>
      <c r="M1" s="20"/>
      <c r="N1" s="20"/>
      <c r="O1" s="20"/>
      <c r="P1" s="20"/>
      <c r="Q1" s="20"/>
      <c r="R1" s="20"/>
      <c r="S1" s="20"/>
      <c r="T1" s="20"/>
      <c r="U1" s="20"/>
      <c r="V1" s="20"/>
      <c r="W1" s="20"/>
      <c r="X1" s="20"/>
      <c r="Y1" s="20"/>
      <c r="Z1" s="20"/>
    </row>
    <row r="2" ht="14.25" customHeight="1">
      <c r="A2" s="21" t="s">
        <v>417</v>
      </c>
      <c r="B2" s="1" t="s">
        <v>690</v>
      </c>
    </row>
    <row r="3" ht="14.25" customHeight="1">
      <c r="A3" s="21" t="s">
        <v>386</v>
      </c>
      <c r="B3" s="1" t="s">
        <v>691</v>
      </c>
    </row>
    <row r="4" ht="14.25" customHeight="1">
      <c r="A4" s="21" t="s">
        <v>395</v>
      </c>
      <c r="B4" s="1" t="s">
        <v>692</v>
      </c>
    </row>
    <row r="5" ht="14.25" customHeight="1">
      <c r="A5" s="21" t="s">
        <v>409</v>
      </c>
      <c r="B5" s="1"/>
    </row>
    <row r="6" ht="14.25" customHeight="1">
      <c r="A6" s="21" t="s">
        <v>438</v>
      </c>
      <c r="B6" s="1" t="s">
        <v>693</v>
      </c>
    </row>
    <row r="7" ht="14.25" customHeight="1">
      <c r="B7" s="1"/>
    </row>
    <row r="8" ht="14.25" customHeight="1">
      <c r="B8" s="1"/>
    </row>
    <row r="9" ht="14.25" customHeight="1">
      <c r="B9" s="1"/>
    </row>
    <row r="10" ht="14.25" customHeight="1">
      <c r="B10" s="1"/>
    </row>
    <row r="11" ht="14.25" customHeight="1">
      <c r="B11" s="1"/>
    </row>
    <row r="12" ht="14.25" customHeight="1">
      <c r="B12" s="1"/>
    </row>
    <row r="13" ht="14.25" customHeight="1">
      <c r="B13" s="1"/>
    </row>
    <row r="14" ht="14.25" customHeight="1">
      <c r="B14" s="1"/>
    </row>
    <row r="15" ht="14.25" customHeight="1">
      <c r="B15" s="1"/>
    </row>
    <row r="16" ht="14.25" customHeight="1">
      <c r="B16" s="1"/>
    </row>
    <row r="17" ht="14.25" customHeight="1">
      <c r="B17" s="1"/>
    </row>
    <row r="18" ht="14.25" customHeight="1">
      <c r="B18" s="1"/>
    </row>
    <row r="19" ht="14.25" customHeight="1">
      <c r="B19" s="1"/>
    </row>
    <row r="20" ht="14.25" customHeight="1">
      <c r="B20" s="1"/>
    </row>
    <row r="21" ht="14.25" customHeight="1">
      <c r="B21" s="1"/>
    </row>
    <row r="22" ht="14.25" customHeight="1">
      <c r="B22" s="1"/>
    </row>
    <row r="23" ht="14.25" customHeight="1">
      <c r="B23" s="1"/>
    </row>
    <row r="24" ht="14.25" customHeight="1">
      <c r="B24" s="1"/>
    </row>
    <row r="25" ht="14.25" customHeight="1">
      <c r="B25" s="1"/>
    </row>
    <row r="26" ht="14.25" customHeight="1">
      <c r="B26" s="1"/>
    </row>
    <row r="27" ht="14.25" customHeight="1">
      <c r="B27" s="1"/>
    </row>
    <row r="28" ht="14.25" customHeight="1">
      <c r="B28" s="1"/>
    </row>
    <row r="29" ht="14.25" customHeight="1">
      <c r="B29" s="1"/>
    </row>
    <row r="30" ht="14.25" customHeight="1">
      <c r="B30" s="1"/>
    </row>
    <row r="31" ht="14.25" customHeight="1">
      <c r="B31" s="1"/>
    </row>
    <row r="32" ht="14.25" customHeight="1">
      <c r="B32" s="1"/>
    </row>
    <row r="33" ht="14.25" customHeight="1">
      <c r="B33" s="1"/>
    </row>
    <row r="34" ht="14.25" customHeight="1">
      <c r="B34" s="1"/>
    </row>
    <row r="35" ht="14.25" customHeight="1">
      <c r="B35" s="1"/>
    </row>
    <row r="36" ht="14.25" customHeight="1">
      <c r="B36" s="1"/>
    </row>
    <row r="37" ht="14.25" customHeight="1">
      <c r="B37" s="1"/>
    </row>
    <row r="38" ht="14.25" customHeight="1">
      <c r="B38" s="1"/>
    </row>
    <row r="39" ht="14.25" customHeight="1">
      <c r="B39" s="1"/>
    </row>
    <row r="40" ht="14.25" customHeight="1">
      <c r="B40" s="1"/>
    </row>
    <row r="41" ht="14.25" customHeight="1">
      <c r="B41" s="1"/>
    </row>
    <row r="42" ht="14.25" customHeight="1">
      <c r="B42" s="1"/>
    </row>
    <row r="43" ht="14.25" customHeight="1">
      <c r="B43" s="1"/>
    </row>
    <row r="44" ht="14.25" customHeight="1">
      <c r="B44" s="1"/>
    </row>
    <row r="45" ht="14.25" customHeight="1">
      <c r="B45" s="1"/>
    </row>
    <row r="46" ht="14.25" customHeight="1">
      <c r="B46" s="1"/>
    </row>
    <row r="47" ht="14.25" customHeight="1">
      <c r="B47" s="1"/>
    </row>
    <row r="48" ht="14.25" customHeight="1">
      <c r="B48" s="1"/>
    </row>
    <row r="49" ht="14.25" customHeight="1">
      <c r="B49" s="1"/>
    </row>
    <row r="50" ht="14.25" customHeight="1">
      <c r="B50" s="1"/>
    </row>
    <row r="51" ht="14.25" customHeight="1">
      <c r="B51" s="1"/>
    </row>
    <row r="52" ht="14.25" customHeight="1">
      <c r="B52" s="1"/>
    </row>
    <row r="53" ht="14.25" customHeight="1">
      <c r="B53" s="1"/>
    </row>
    <row r="54" ht="14.25" customHeight="1">
      <c r="B54" s="1"/>
    </row>
    <row r="55" ht="14.25" customHeight="1">
      <c r="B55" s="1"/>
    </row>
    <row r="56" ht="14.25" customHeight="1">
      <c r="B56" s="1"/>
    </row>
    <row r="57" ht="14.25" customHeight="1">
      <c r="B57" s="1"/>
    </row>
    <row r="58" ht="14.25" customHeight="1">
      <c r="B58" s="1"/>
    </row>
    <row r="59" ht="14.25" customHeight="1">
      <c r="B59" s="1"/>
    </row>
    <row r="60" ht="14.25" customHeight="1">
      <c r="B60" s="1"/>
    </row>
    <row r="61" ht="14.25" customHeight="1">
      <c r="B61" s="1"/>
    </row>
    <row r="62" ht="14.25" customHeight="1">
      <c r="B62" s="1"/>
    </row>
    <row r="63" ht="14.25" customHeight="1">
      <c r="B63" s="1"/>
    </row>
    <row r="64" ht="14.25" customHeight="1">
      <c r="B64" s="1"/>
    </row>
    <row r="65" ht="14.25" customHeight="1">
      <c r="B65" s="1"/>
    </row>
    <row r="66" ht="14.25" customHeight="1">
      <c r="B66" s="1"/>
    </row>
    <row r="67" ht="14.25" customHeight="1">
      <c r="B67" s="1"/>
    </row>
    <row r="68" ht="14.25" customHeight="1">
      <c r="B68" s="1"/>
    </row>
    <row r="69" ht="14.25" customHeight="1">
      <c r="B69" s="1"/>
    </row>
    <row r="70" ht="14.25" customHeight="1">
      <c r="B70" s="1"/>
    </row>
    <row r="71" ht="14.25" customHeight="1">
      <c r="B71" s="1"/>
    </row>
    <row r="72" ht="14.25" customHeight="1">
      <c r="B72" s="1"/>
    </row>
    <row r="73" ht="14.25" customHeight="1">
      <c r="B73" s="1"/>
    </row>
    <row r="74" ht="14.25" customHeight="1">
      <c r="B74" s="1"/>
    </row>
    <row r="75" ht="14.25" customHeight="1">
      <c r="B75" s="1"/>
    </row>
    <row r="76" ht="14.25" customHeight="1">
      <c r="B76" s="1"/>
    </row>
    <row r="77" ht="14.25" customHeight="1">
      <c r="B77" s="1"/>
    </row>
    <row r="78" ht="14.25" customHeight="1">
      <c r="B78" s="1"/>
    </row>
    <row r="79" ht="14.25" customHeight="1">
      <c r="B79" s="1"/>
    </row>
    <row r="80" ht="14.25" customHeight="1">
      <c r="B80" s="1"/>
    </row>
    <row r="81" ht="14.25" customHeight="1">
      <c r="B81" s="1"/>
    </row>
    <row r="82" ht="14.25" customHeight="1">
      <c r="B82" s="1"/>
    </row>
    <row r="83" ht="14.25" customHeight="1">
      <c r="B83" s="1"/>
    </row>
    <row r="84" ht="14.25" customHeight="1">
      <c r="B84" s="1"/>
    </row>
    <row r="85" ht="14.25" customHeight="1">
      <c r="B85" s="1"/>
    </row>
    <row r="86" ht="14.25" customHeight="1">
      <c r="B86" s="1"/>
    </row>
    <row r="87" ht="14.25" customHeight="1">
      <c r="B87" s="1"/>
    </row>
    <row r="88" ht="14.25" customHeight="1">
      <c r="B88" s="1"/>
    </row>
    <row r="89" ht="14.25" customHeight="1">
      <c r="B89" s="1"/>
    </row>
    <row r="90" ht="14.25" customHeight="1">
      <c r="B90" s="1"/>
    </row>
    <row r="91" ht="14.25" customHeight="1">
      <c r="B91" s="1"/>
    </row>
    <row r="92" ht="14.25" customHeight="1">
      <c r="B92" s="1"/>
    </row>
    <row r="93" ht="14.25" customHeight="1">
      <c r="B93" s="1"/>
    </row>
    <row r="94" ht="14.25" customHeight="1">
      <c r="B94" s="1"/>
    </row>
    <row r="95" ht="14.25" customHeight="1">
      <c r="B95" s="1"/>
    </row>
    <row r="96" ht="14.25" customHeight="1">
      <c r="B96" s="1"/>
    </row>
    <row r="97" ht="14.25" customHeight="1">
      <c r="B97" s="1"/>
    </row>
    <row r="98" ht="14.25" customHeight="1">
      <c r="B98" s="1"/>
    </row>
    <row r="99" ht="14.25" customHeight="1">
      <c r="B99" s="1"/>
    </row>
    <row r="100" ht="14.25" customHeight="1">
      <c r="B100" s="1"/>
    </row>
    <row r="101" ht="14.25" customHeight="1">
      <c r="B101" s="1"/>
    </row>
    <row r="102" ht="14.25" customHeight="1">
      <c r="B102" s="1"/>
    </row>
    <row r="103" ht="14.25" customHeight="1">
      <c r="B103" s="1"/>
    </row>
    <row r="104" ht="14.25" customHeight="1">
      <c r="B104" s="1"/>
    </row>
    <row r="105" ht="14.25" customHeight="1">
      <c r="B105" s="1"/>
    </row>
    <row r="106" ht="14.25" customHeight="1">
      <c r="B106" s="1"/>
    </row>
    <row r="107" ht="14.25" customHeight="1">
      <c r="B107" s="1"/>
    </row>
    <row r="108" ht="14.25" customHeight="1">
      <c r="B108" s="1"/>
    </row>
    <row r="109" ht="14.25" customHeight="1">
      <c r="B109" s="1"/>
    </row>
    <row r="110" ht="14.25" customHeight="1">
      <c r="B110" s="1"/>
    </row>
    <row r="111" ht="14.25" customHeight="1">
      <c r="B111" s="1"/>
    </row>
    <row r="112" ht="14.25" customHeight="1">
      <c r="B112" s="1"/>
    </row>
    <row r="113" ht="14.25" customHeight="1">
      <c r="B113" s="1"/>
    </row>
    <row r="114" ht="14.25" customHeight="1">
      <c r="B114" s="1"/>
    </row>
    <row r="115" ht="14.25" customHeight="1">
      <c r="B115" s="1"/>
    </row>
    <row r="116" ht="14.25" customHeight="1">
      <c r="B116" s="1"/>
    </row>
    <row r="117" ht="14.25" customHeight="1">
      <c r="B117" s="1"/>
    </row>
    <row r="118" ht="14.25" customHeight="1">
      <c r="B118" s="1"/>
    </row>
    <row r="119" ht="14.25" customHeight="1">
      <c r="B119" s="1"/>
    </row>
    <row r="120" ht="14.25" customHeight="1">
      <c r="B120" s="1"/>
    </row>
    <row r="121" ht="14.25" customHeight="1">
      <c r="B121" s="1"/>
    </row>
    <row r="122" ht="14.25" customHeight="1">
      <c r="B122" s="1"/>
    </row>
    <row r="123" ht="14.25" customHeight="1">
      <c r="B123" s="1"/>
    </row>
    <row r="124" ht="14.25" customHeight="1">
      <c r="B124" s="1"/>
    </row>
    <row r="125" ht="14.25" customHeight="1">
      <c r="B125" s="1"/>
    </row>
    <row r="126" ht="14.25" customHeight="1">
      <c r="B126" s="1"/>
    </row>
    <row r="127" ht="14.25" customHeight="1">
      <c r="B127" s="1"/>
    </row>
    <row r="128" ht="14.25" customHeight="1">
      <c r="B128" s="1"/>
    </row>
    <row r="129" ht="14.25" customHeight="1">
      <c r="B129" s="1"/>
    </row>
    <row r="130" ht="14.25" customHeight="1">
      <c r="B130" s="1"/>
    </row>
    <row r="131" ht="14.25" customHeight="1">
      <c r="B131" s="1"/>
    </row>
    <row r="132" ht="14.25" customHeight="1">
      <c r="B132" s="1"/>
    </row>
    <row r="133" ht="14.25" customHeight="1">
      <c r="B133" s="1"/>
    </row>
    <row r="134" ht="14.25" customHeight="1">
      <c r="B134" s="1"/>
    </row>
    <row r="135" ht="14.25" customHeight="1">
      <c r="B135" s="1"/>
    </row>
    <row r="136" ht="14.25" customHeight="1">
      <c r="B136" s="1"/>
    </row>
    <row r="137" ht="14.25" customHeight="1">
      <c r="B137" s="1"/>
    </row>
    <row r="138" ht="14.25" customHeight="1">
      <c r="B138" s="1"/>
    </row>
    <row r="139" ht="14.25" customHeight="1">
      <c r="B139" s="1"/>
    </row>
    <row r="140" ht="14.25" customHeight="1">
      <c r="B140" s="1"/>
    </row>
    <row r="141" ht="14.25" customHeight="1">
      <c r="B141" s="1"/>
    </row>
    <row r="142" ht="14.25" customHeight="1">
      <c r="B142" s="1"/>
    </row>
    <row r="143" ht="14.25" customHeight="1">
      <c r="B143" s="1"/>
    </row>
    <row r="144" ht="14.25" customHeight="1">
      <c r="B144" s="1"/>
    </row>
    <row r="145" ht="14.25" customHeight="1">
      <c r="B145" s="1"/>
    </row>
    <row r="146" ht="14.25" customHeight="1">
      <c r="B146" s="1"/>
    </row>
    <row r="147" ht="14.25" customHeight="1">
      <c r="B147" s="1"/>
    </row>
    <row r="148" ht="14.25" customHeight="1">
      <c r="B148" s="1"/>
    </row>
    <row r="149" ht="14.25" customHeight="1">
      <c r="B149" s="1"/>
    </row>
    <row r="150" ht="14.25" customHeight="1">
      <c r="B150" s="1"/>
    </row>
    <row r="151" ht="14.25" customHeight="1">
      <c r="B151" s="1"/>
    </row>
    <row r="152" ht="14.25" customHeight="1">
      <c r="B152" s="1"/>
    </row>
    <row r="153" ht="14.25" customHeight="1">
      <c r="B153" s="1"/>
    </row>
    <row r="154" ht="14.25" customHeight="1">
      <c r="B154" s="1"/>
    </row>
    <row r="155" ht="14.25" customHeight="1">
      <c r="B155" s="1"/>
    </row>
    <row r="156" ht="14.25" customHeight="1">
      <c r="B156" s="1"/>
    </row>
    <row r="157" ht="14.25" customHeight="1">
      <c r="B157" s="1"/>
    </row>
    <row r="158" ht="14.25" customHeight="1">
      <c r="B158" s="1"/>
    </row>
    <row r="159" ht="14.25" customHeight="1">
      <c r="B159" s="1"/>
    </row>
    <row r="160" ht="14.25" customHeight="1">
      <c r="B160" s="1"/>
    </row>
    <row r="161" ht="14.25" customHeight="1">
      <c r="B161" s="1"/>
    </row>
    <row r="162" ht="14.25" customHeight="1">
      <c r="B162" s="1"/>
    </row>
    <row r="163" ht="14.25" customHeight="1">
      <c r="B163" s="1"/>
    </row>
    <row r="164" ht="14.25" customHeight="1">
      <c r="B164" s="1"/>
    </row>
    <row r="165" ht="14.25" customHeight="1">
      <c r="B165" s="1"/>
    </row>
    <row r="166" ht="14.25" customHeight="1">
      <c r="B166" s="1"/>
    </row>
    <row r="167" ht="14.25" customHeight="1">
      <c r="B167" s="1"/>
    </row>
    <row r="168" ht="14.25" customHeight="1">
      <c r="B168" s="1"/>
    </row>
    <row r="169" ht="14.25" customHeight="1">
      <c r="B169" s="1"/>
    </row>
    <row r="170" ht="14.25" customHeight="1">
      <c r="B170" s="1"/>
    </row>
    <row r="171" ht="14.25" customHeight="1">
      <c r="B171" s="1"/>
    </row>
    <row r="172" ht="14.25" customHeight="1">
      <c r="B172" s="1"/>
    </row>
    <row r="173" ht="14.25" customHeight="1">
      <c r="B173" s="1"/>
    </row>
    <row r="174" ht="14.25" customHeight="1">
      <c r="B174" s="1"/>
    </row>
    <row r="175" ht="14.25" customHeight="1">
      <c r="B175" s="1"/>
    </row>
    <row r="176" ht="14.25" customHeight="1">
      <c r="B176" s="1"/>
    </row>
    <row r="177" ht="14.25" customHeight="1">
      <c r="B177" s="1"/>
    </row>
    <row r="178" ht="14.25" customHeight="1">
      <c r="B178" s="1"/>
    </row>
    <row r="179" ht="14.25" customHeight="1">
      <c r="B179" s="1"/>
    </row>
    <row r="180" ht="14.25" customHeight="1">
      <c r="B180" s="1"/>
    </row>
    <row r="181" ht="14.25" customHeight="1">
      <c r="B181" s="1"/>
    </row>
    <row r="182" ht="14.25" customHeight="1">
      <c r="B182" s="1"/>
    </row>
    <row r="183" ht="14.25" customHeight="1">
      <c r="B183" s="1"/>
    </row>
    <row r="184" ht="14.25" customHeight="1">
      <c r="B184" s="1"/>
    </row>
    <row r="185" ht="14.25" customHeight="1">
      <c r="B185" s="1"/>
    </row>
    <row r="186" ht="14.25" customHeight="1">
      <c r="B186" s="1"/>
    </row>
    <row r="187" ht="14.25" customHeight="1">
      <c r="B187" s="1"/>
    </row>
    <row r="188" ht="14.25" customHeight="1">
      <c r="B188" s="1"/>
    </row>
    <row r="189" ht="14.25" customHeight="1">
      <c r="B189" s="1"/>
    </row>
    <row r="190" ht="14.25" customHeight="1">
      <c r="B190" s="1"/>
    </row>
    <row r="191" ht="14.25" customHeight="1">
      <c r="B191" s="1"/>
    </row>
    <row r="192" ht="14.25" customHeight="1">
      <c r="B192" s="1"/>
    </row>
    <row r="193" ht="14.25" customHeight="1">
      <c r="B193" s="1"/>
    </row>
    <row r="194" ht="14.25" customHeight="1">
      <c r="B194" s="1"/>
    </row>
    <row r="195" ht="14.25" customHeight="1">
      <c r="B195" s="1"/>
    </row>
    <row r="196" ht="14.25" customHeight="1">
      <c r="B196" s="1"/>
    </row>
    <row r="197" ht="14.25" customHeight="1">
      <c r="B197" s="1"/>
    </row>
    <row r="198" ht="14.25" customHeight="1">
      <c r="B198" s="1"/>
    </row>
    <row r="199" ht="14.25" customHeight="1">
      <c r="B199" s="1"/>
    </row>
    <row r="200" ht="14.25" customHeight="1">
      <c r="B200" s="1"/>
    </row>
    <row r="201" ht="14.25" customHeight="1">
      <c r="B201" s="1"/>
    </row>
    <row r="202" ht="14.25" customHeight="1">
      <c r="B202" s="1"/>
    </row>
    <row r="203" ht="14.25" customHeight="1">
      <c r="B203" s="1"/>
    </row>
    <row r="204" ht="14.25" customHeight="1">
      <c r="B204" s="1"/>
    </row>
    <row r="205" ht="14.25" customHeight="1">
      <c r="B205" s="1"/>
    </row>
    <row r="206" ht="14.25" customHeight="1">
      <c r="B206" s="1"/>
    </row>
    <row r="207" ht="14.25" customHeight="1">
      <c r="B207" s="1"/>
    </row>
    <row r="208" ht="14.25" customHeight="1">
      <c r="B208" s="1"/>
    </row>
    <row r="209" ht="14.25" customHeight="1">
      <c r="B209" s="1"/>
    </row>
    <row r="210" ht="14.25" customHeight="1">
      <c r="B210" s="1"/>
    </row>
    <row r="211" ht="14.25" customHeight="1">
      <c r="B211" s="1"/>
    </row>
    <row r="212" ht="14.25" customHeight="1">
      <c r="B212" s="1"/>
    </row>
    <row r="213" ht="14.25" customHeight="1">
      <c r="B213" s="1"/>
    </row>
    <row r="214" ht="14.25" customHeight="1">
      <c r="B214" s="1"/>
    </row>
    <row r="215" ht="14.25" customHeight="1">
      <c r="B215" s="1"/>
    </row>
    <row r="216" ht="14.25" customHeight="1">
      <c r="B216" s="1"/>
    </row>
    <row r="217" ht="14.25" customHeight="1">
      <c r="B217" s="1"/>
    </row>
    <row r="218" ht="14.25" customHeight="1">
      <c r="B218" s="1"/>
    </row>
    <row r="219" ht="14.25" customHeight="1">
      <c r="B219" s="1"/>
    </row>
    <row r="220" ht="14.25" customHeight="1">
      <c r="B220" s="1"/>
    </row>
    <row r="221" ht="14.25" customHeight="1">
      <c r="B221" s="1"/>
    </row>
    <row r="222" ht="14.25" customHeight="1">
      <c r="B222" s="1"/>
    </row>
    <row r="223" ht="14.25" customHeight="1">
      <c r="B223" s="1"/>
    </row>
    <row r="224" ht="14.25" customHeight="1">
      <c r="B224" s="1"/>
    </row>
    <row r="225" ht="14.25" customHeight="1">
      <c r="B225" s="1"/>
    </row>
    <row r="226" ht="14.25" customHeight="1">
      <c r="B226" s="1"/>
    </row>
    <row r="227" ht="14.25" customHeight="1">
      <c r="B227" s="1"/>
    </row>
    <row r="228" ht="14.25" customHeight="1">
      <c r="B228" s="1"/>
    </row>
    <row r="229" ht="14.25" customHeight="1">
      <c r="B229" s="1"/>
    </row>
    <row r="230" ht="14.25" customHeight="1">
      <c r="B230" s="1"/>
    </row>
    <row r="231" ht="14.25" customHeight="1">
      <c r="B231" s="1"/>
    </row>
    <row r="232" ht="14.25" customHeight="1">
      <c r="B232" s="1"/>
    </row>
    <row r="233" ht="14.25" customHeight="1">
      <c r="B233" s="1"/>
    </row>
    <row r="234" ht="14.25" customHeight="1">
      <c r="B234" s="1"/>
    </row>
    <row r="235" ht="14.25" customHeight="1">
      <c r="B235" s="1"/>
    </row>
    <row r="236" ht="14.25" customHeight="1">
      <c r="B236" s="1"/>
    </row>
    <row r="237" ht="14.25" customHeight="1">
      <c r="B237" s="1"/>
    </row>
    <row r="238" ht="14.25" customHeight="1">
      <c r="B238" s="1"/>
    </row>
    <row r="239" ht="14.25" customHeight="1">
      <c r="B239" s="1"/>
    </row>
    <row r="240" ht="14.25" customHeight="1">
      <c r="B240" s="1"/>
    </row>
    <row r="241" ht="14.25" customHeight="1">
      <c r="B241" s="1"/>
    </row>
    <row r="242" ht="14.25" customHeight="1">
      <c r="B242" s="1"/>
    </row>
    <row r="243" ht="14.25" customHeight="1">
      <c r="B243" s="1"/>
    </row>
    <row r="244" ht="14.25" customHeight="1">
      <c r="B244" s="1"/>
    </row>
    <row r="245" ht="14.25" customHeight="1">
      <c r="B245" s="1"/>
    </row>
    <row r="246" ht="14.25" customHeight="1">
      <c r="B246" s="1"/>
    </row>
    <row r="247" ht="14.25" customHeight="1">
      <c r="B247" s="1"/>
    </row>
    <row r="248" ht="14.25" customHeight="1">
      <c r="B248" s="1"/>
    </row>
    <row r="249" ht="14.25" customHeight="1">
      <c r="B249" s="1"/>
    </row>
    <row r="250" ht="14.25" customHeight="1">
      <c r="B250" s="1"/>
    </row>
    <row r="251" ht="14.25" customHeight="1">
      <c r="B251" s="1"/>
    </row>
    <row r="252" ht="14.25" customHeight="1">
      <c r="B252" s="1"/>
    </row>
    <row r="253" ht="14.25" customHeight="1">
      <c r="B253" s="1"/>
    </row>
    <row r="254" ht="14.25" customHeight="1">
      <c r="B254" s="1"/>
    </row>
    <row r="255" ht="14.25" customHeight="1">
      <c r="B255" s="1"/>
    </row>
    <row r="256" ht="14.25" customHeight="1">
      <c r="B256" s="1"/>
    </row>
    <row r="257" ht="14.25" customHeight="1">
      <c r="B257" s="1"/>
    </row>
    <row r="258" ht="14.25" customHeight="1">
      <c r="B258" s="1"/>
    </row>
    <row r="259" ht="14.25" customHeight="1">
      <c r="B259" s="1"/>
    </row>
    <row r="260" ht="14.25" customHeight="1">
      <c r="B260" s="1"/>
    </row>
    <row r="261" ht="14.25" customHeight="1">
      <c r="B261" s="1"/>
    </row>
    <row r="262" ht="14.25" customHeight="1">
      <c r="B262" s="1"/>
    </row>
    <row r="263" ht="14.25" customHeight="1">
      <c r="B263" s="1"/>
    </row>
    <row r="264" ht="14.25" customHeight="1">
      <c r="B264" s="1"/>
    </row>
    <row r="265" ht="14.25" customHeight="1">
      <c r="B265" s="1"/>
    </row>
    <row r="266" ht="14.25" customHeight="1">
      <c r="B266" s="1"/>
    </row>
    <row r="267" ht="14.25" customHeight="1">
      <c r="B267" s="1"/>
    </row>
    <row r="268" ht="14.25" customHeight="1">
      <c r="B268" s="1"/>
    </row>
    <row r="269" ht="14.25" customHeight="1">
      <c r="B269" s="1"/>
    </row>
    <row r="270" ht="14.25" customHeight="1">
      <c r="B270" s="1"/>
    </row>
    <row r="271" ht="14.25" customHeight="1">
      <c r="B271" s="1"/>
    </row>
    <row r="272" ht="14.25" customHeight="1">
      <c r="B272" s="1"/>
    </row>
    <row r="273" ht="14.25" customHeight="1">
      <c r="B273" s="1"/>
    </row>
    <row r="274" ht="14.25" customHeight="1">
      <c r="B274" s="1"/>
    </row>
    <row r="275" ht="14.25" customHeight="1">
      <c r="B275" s="1"/>
    </row>
    <row r="276" ht="14.25" customHeight="1">
      <c r="B276" s="1"/>
    </row>
    <row r="277" ht="14.25" customHeight="1">
      <c r="B277" s="1"/>
    </row>
    <row r="278" ht="14.25" customHeight="1">
      <c r="B278" s="1"/>
    </row>
    <row r="279" ht="14.25" customHeight="1">
      <c r="B279" s="1"/>
    </row>
    <row r="280" ht="14.25" customHeight="1">
      <c r="B280" s="1"/>
    </row>
    <row r="281" ht="14.25" customHeight="1">
      <c r="B281" s="1"/>
    </row>
    <row r="282" ht="14.25" customHeight="1">
      <c r="B282" s="1"/>
    </row>
    <row r="283" ht="14.25" customHeight="1">
      <c r="B283" s="1"/>
    </row>
    <row r="284" ht="14.25" customHeight="1">
      <c r="B284" s="1"/>
    </row>
    <row r="285" ht="14.25" customHeight="1">
      <c r="B285" s="1"/>
    </row>
    <row r="286" ht="14.25" customHeight="1">
      <c r="B286" s="1"/>
    </row>
    <row r="287" ht="14.25" customHeight="1">
      <c r="B287" s="1"/>
    </row>
    <row r="288" ht="14.25" customHeight="1">
      <c r="B288" s="1"/>
    </row>
    <row r="289" ht="14.25" customHeight="1">
      <c r="B289" s="1"/>
    </row>
    <row r="290" ht="14.25" customHeight="1">
      <c r="B290" s="1"/>
    </row>
    <row r="291" ht="14.25" customHeight="1">
      <c r="B291" s="1"/>
    </row>
    <row r="292" ht="14.25" customHeight="1">
      <c r="B292" s="1"/>
    </row>
    <row r="293" ht="14.25" customHeight="1">
      <c r="B293" s="1"/>
    </row>
    <row r="294" ht="14.25" customHeight="1">
      <c r="B294" s="1"/>
    </row>
    <row r="295" ht="14.25" customHeight="1">
      <c r="B295" s="1"/>
    </row>
    <row r="296" ht="14.25" customHeight="1">
      <c r="B296" s="1"/>
    </row>
    <row r="297" ht="14.25" customHeight="1">
      <c r="B297" s="1"/>
    </row>
    <row r="298" ht="14.25" customHeight="1">
      <c r="B298" s="1"/>
    </row>
    <row r="299" ht="14.25" customHeight="1">
      <c r="B299" s="1"/>
    </row>
    <row r="300" ht="14.25" customHeight="1">
      <c r="B300" s="1"/>
    </row>
    <row r="301" ht="14.25" customHeight="1">
      <c r="B301" s="1"/>
    </row>
    <row r="302" ht="14.25" customHeight="1">
      <c r="B302" s="1"/>
    </row>
    <row r="303" ht="14.25" customHeight="1">
      <c r="B303" s="1"/>
    </row>
    <row r="304" ht="14.25" customHeight="1">
      <c r="B304" s="1"/>
    </row>
    <row r="305" ht="14.25" customHeight="1">
      <c r="B305" s="1"/>
    </row>
    <row r="306" ht="14.25" customHeight="1">
      <c r="B306" s="1"/>
    </row>
    <row r="307" ht="14.25" customHeight="1">
      <c r="B307" s="1"/>
    </row>
    <row r="308" ht="14.25" customHeight="1">
      <c r="B308" s="1"/>
    </row>
    <row r="309" ht="14.25" customHeight="1">
      <c r="B309" s="1"/>
    </row>
    <row r="310" ht="14.25" customHeight="1">
      <c r="B310" s="1"/>
    </row>
    <row r="311" ht="14.25" customHeight="1">
      <c r="B311" s="1"/>
    </row>
    <row r="312" ht="14.25" customHeight="1">
      <c r="B312" s="1"/>
    </row>
    <row r="313" ht="14.25" customHeight="1">
      <c r="B313" s="1"/>
    </row>
    <row r="314" ht="14.25" customHeight="1">
      <c r="B314" s="1"/>
    </row>
    <row r="315" ht="14.25" customHeight="1">
      <c r="B315" s="1"/>
    </row>
    <row r="316" ht="14.25" customHeight="1">
      <c r="B316" s="1"/>
    </row>
    <row r="317" ht="14.25" customHeight="1">
      <c r="B317" s="1"/>
    </row>
    <row r="318" ht="14.25" customHeight="1">
      <c r="B318" s="1"/>
    </row>
    <row r="319" ht="14.25" customHeight="1">
      <c r="B319" s="1"/>
    </row>
    <row r="320" ht="14.25" customHeight="1">
      <c r="B320" s="1"/>
    </row>
    <row r="321" ht="14.25" customHeight="1">
      <c r="B321" s="1"/>
    </row>
    <row r="322" ht="14.25" customHeight="1">
      <c r="B322" s="1"/>
    </row>
    <row r="323" ht="14.25" customHeight="1">
      <c r="B323" s="1"/>
    </row>
    <row r="324" ht="14.25" customHeight="1">
      <c r="B324" s="1"/>
    </row>
    <row r="325" ht="14.25" customHeight="1">
      <c r="B325" s="1"/>
    </row>
    <row r="326" ht="14.25" customHeight="1">
      <c r="B326" s="1"/>
    </row>
    <row r="327" ht="14.25" customHeight="1">
      <c r="B327" s="1"/>
    </row>
    <row r="328" ht="14.25" customHeight="1">
      <c r="B328" s="1"/>
    </row>
    <row r="329" ht="14.25" customHeight="1">
      <c r="B329" s="1"/>
    </row>
    <row r="330" ht="14.25" customHeight="1">
      <c r="B330" s="1"/>
    </row>
    <row r="331" ht="14.25" customHeight="1">
      <c r="B331" s="1"/>
    </row>
    <row r="332" ht="14.25" customHeight="1">
      <c r="B332" s="1"/>
    </row>
    <row r="333" ht="14.25" customHeight="1">
      <c r="B333" s="1"/>
    </row>
    <row r="334" ht="14.25" customHeight="1">
      <c r="B334" s="1"/>
    </row>
    <row r="335" ht="14.25" customHeight="1">
      <c r="B335" s="1"/>
    </row>
    <row r="336" ht="14.25" customHeight="1">
      <c r="B336" s="1"/>
    </row>
    <row r="337" ht="14.25" customHeight="1">
      <c r="B337" s="1"/>
    </row>
    <row r="338" ht="14.25" customHeight="1">
      <c r="B338" s="1"/>
    </row>
    <row r="339" ht="14.25" customHeight="1">
      <c r="B339" s="1"/>
    </row>
    <row r="340" ht="14.25" customHeight="1">
      <c r="B340" s="1"/>
    </row>
    <row r="341" ht="14.25" customHeight="1">
      <c r="B341" s="1"/>
    </row>
    <row r="342" ht="14.25" customHeight="1">
      <c r="B342" s="1"/>
    </row>
    <row r="343" ht="14.25" customHeight="1">
      <c r="B343" s="1"/>
    </row>
    <row r="344" ht="14.25" customHeight="1">
      <c r="B344" s="1"/>
    </row>
    <row r="345" ht="14.25" customHeight="1">
      <c r="B345" s="1"/>
    </row>
    <row r="346" ht="14.25" customHeight="1">
      <c r="B346" s="1"/>
    </row>
    <row r="347" ht="14.25" customHeight="1">
      <c r="B347" s="1"/>
    </row>
    <row r="348" ht="14.25" customHeight="1">
      <c r="B348" s="1"/>
    </row>
    <row r="349" ht="14.25" customHeight="1">
      <c r="B349" s="1"/>
    </row>
    <row r="350" ht="14.25" customHeight="1">
      <c r="B350" s="1"/>
    </row>
    <row r="351" ht="14.25" customHeight="1">
      <c r="B351" s="1"/>
    </row>
    <row r="352" ht="14.25" customHeight="1">
      <c r="B352" s="1"/>
    </row>
    <row r="353" ht="14.25" customHeight="1">
      <c r="B353" s="1"/>
    </row>
    <row r="354" ht="14.25" customHeight="1">
      <c r="B354" s="1"/>
    </row>
    <row r="355" ht="14.25" customHeight="1">
      <c r="B355" s="1"/>
    </row>
    <row r="356" ht="14.25" customHeight="1">
      <c r="B356" s="1"/>
    </row>
    <row r="357" ht="14.25" customHeight="1">
      <c r="B357" s="1"/>
    </row>
    <row r="358" ht="14.25" customHeight="1">
      <c r="B358" s="1"/>
    </row>
    <row r="359" ht="14.25" customHeight="1">
      <c r="B359" s="1"/>
    </row>
    <row r="360" ht="14.25" customHeight="1">
      <c r="B360" s="1"/>
    </row>
    <row r="361" ht="14.25" customHeight="1">
      <c r="B361" s="1"/>
    </row>
    <row r="362" ht="14.25" customHeight="1">
      <c r="B362" s="1"/>
    </row>
    <row r="363" ht="14.25" customHeight="1">
      <c r="B363" s="1"/>
    </row>
    <row r="364" ht="14.25" customHeight="1">
      <c r="B364" s="1"/>
    </row>
    <row r="365" ht="14.25" customHeight="1">
      <c r="B365" s="1"/>
    </row>
    <row r="366" ht="14.25" customHeight="1">
      <c r="B366" s="1"/>
    </row>
    <row r="367" ht="14.25" customHeight="1">
      <c r="B367" s="1"/>
    </row>
    <row r="368" ht="14.25" customHeight="1">
      <c r="B368" s="1"/>
    </row>
    <row r="369" ht="14.25" customHeight="1">
      <c r="B369" s="1"/>
    </row>
    <row r="370" ht="14.25" customHeight="1">
      <c r="B370" s="1"/>
    </row>
    <row r="371" ht="14.25" customHeight="1">
      <c r="B371" s="1"/>
    </row>
    <row r="372" ht="14.25" customHeight="1">
      <c r="B372" s="1"/>
    </row>
    <row r="373" ht="14.25" customHeight="1">
      <c r="B373" s="1"/>
    </row>
    <row r="374" ht="14.25" customHeight="1">
      <c r="B374" s="1"/>
    </row>
    <row r="375" ht="14.25" customHeight="1">
      <c r="B375" s="1"/>
    </row>
    <row r="376" ht="14.25" customHeight="1">
      <c r="B376" s="1"/>
    </row>
    <row r="377" ht="14.25" customHeight="1">
      <c r="B377" s="1"/>
    </row>
    <row r="378" ht="14.25" customHeight="1">
      <c r="B378" s="1"/>
    </row>
    <row r="379" ht="14.25" customHeight="1">
      <c r="B379" s="1"/>
    </row>
    <row r="380" ht="14.25" customHeight="1">
      <c r="B380" s="1"/>
    </row>
    <row r="381" ht="14.25" customHeight="1">
      <c r="B381" s="1"/>
    </row>
    <row r="382" ht="14.25" customHeight="1">
      <c r="B382" s="1"/>
    </row>
    <row r="383" ht="14.25" customHeight="1">
      <c r="B383" s="1"/>
    </row>
    <row r="384" ht="14.25" customHeight="1">
      <c r="B384" s="1"/>
    </row>
    <row r="385" ht="14.25" customHeight="1">
      <c r="B385" s="1"/>
    </row>
    <row r="386" ht="14.25" customHeight="1">
      <c r="B386" s="1"/>
    </row>
    <row r="387" ht="14.25" customHeight="1">
      <c r="B387" s="1"/>
    </row>
    <row r="388" ht="14.25" customHeight="1">
      <c r="B388" s="1"/>
    </row>
    <row r="389" ht="14.25" customHeight="1">
      <c r="B389" s="1"/>
    </row>
    <row r="390" ht="14.25" customHeight="1">
      <c r="B390" s="1"/>
    </row>
    <row r="391" ht="14.25" customHeight="1">
      <c r="B391" s="1"/>
    </row>
    <row r="392" ht="14.25" customHeight="1">
      <c r="B392" s="1"/>
    </row>
    <row r="393" ht="14.25" customHeight="1">
      <c r="B393" s="1"/>
    </row>
    <row r="394" ht="14.25" customHeight="1">
      <c r="B394" s="1"/>
    </row>
    <row r="395" ht="14.25" customHeight="1">
      <c r="B395" s="1"/>
    </row>
    <row r="396" ht="14.25" customHeight="1">
      <c r="B396" s="1"/>
    </row>
    <row r="397" ht="14.25" customHeight="1">
      <c r="B397" s="1"/>
    </row>
    <row r="398" ht="14.25" customHeight="1">
      <c r="B398" s="1"/>
    </row>
    <row r="399" ht="14.25" customHeight="1">
      <c r="B399" s="1"/>
    </row>
    <row r="400" ht="14.25" customHeight="1">
      <c r="B400" s="1"/>
    </row>
    <row r="401" ht="14.25" customHeight="1">
      <c r="B401" s="1"/>
    </row>
    <row r="402" ht="14.25" customHeight="1">
      <c r="B402" s="1"/>
    </row>
    <row r="403" ht="14.25" customHeight="1">
      <c r="B403" s="1"/>
    </row>
    <row r="404" ht="14.25" customHeight="1">
      <c r="B404" s="1"/>
    </row>
    <row r="405" ht="14.25" customHeight="1">
      <c r="B405" s="1"/>
    </row>
    <row r="406" ht="14.25" customHeight="1">
      <c r="B406" s="1"/>
    </row>
    <row r="407" ht="14.25" customHeight="1">
      <c r="B407" s="1"/>
    </row>
    <row r="408" ht="14.25" customHeight="1">
      <c r="B408" s="1"/>
    </row>
    <row r="409" ht="14.25" customHeight="1">
      <c r="B409" s="1"/>
    </row>
    <row r="410" ht="14.25" customHeight="1">
      <c r="B410" s="1"/>
    </row>
    <row r="411" ht="14.25" customHeight="1">
      <c r="B411" s="1"/>
    </row>
    <row r="412" ht="14.25" customHeight="1">
      <c r="B412" s="1"/>
    </row>
    <row r="413" ht="14.25" customHeight="1">
      <c r="B413" s="1"/>
    </row>
    <row r="414" ht="14.25" customHeight="1">
      <c r="B414" s="1"/>
    </row>
    <row r="415" ht="14.25" customHeight="1">
      <c r="B415" s="1"/>
    </row>
    <row r="416" ht="14.25" customHeight="1">
      <c r="B416" s="1"/>
    </row>
    <row r="417" ht="14.25" customHeight="1">
      <c r="B417" s="1"/>
    </row>
    <row r="418" ht="14.25" customHeight="1">
      <c r="B418" s="1"/>
    </row>
    <row r="419" ht="14.25" customHeight="1">
      <c r="B419" s="1"/>
    </row>
    <row r="420" ht="14.25" customHeight="1">
      <c r="B420" s="1"/>
    </row>
    <row r="421" ht="14.25" customHeight="1">
      <c r="B421" s="1"/>
    </row>
    <row r="422" ht="14.25" customHeight="1">
      <c r="B422" s="1"/>
    </row>
    <row r="423" ht="14.25" customHeight="1">
      <c r="B423" s="1"/>
    </row>
    <row r="424" ht="14.25" customHeight="1">
      <c r="B424" s="1"/>
    </row>
    <row r="425" ht="14.25" customHeight="1">
      <c r="B425" s="1"/>
    </row>
    <row r="426" ht="14.25" customHeight="1">
      <c r="B426" s="1"/>
    </row>
    <row r="427" ht="14.25" customHeight="1">
      <c r="B427" s="1"/>
    </row>
    <row r="428" ht="14.25" customHeight="1">
      <c r="B428" s="1"/>
    </row>
    <row r="429" ht="14.25" customHeight="1">
      <c r="B429" s="1"/>
    </row>
    <row r="430" ht="14.25" customHeight="1">
      <c r="B430" s="1"/>
    </row>
    <row r="431" ht="14.25" customHeight="1">
      <c r="B431" s="1"/>
    </row>
    <row r="432" ht="14.25" customHeight="1">
      <c r="B432" s="1"/>
    </row>
    <row r="433" ht="14.25" customHeight="1">
      <c r="B433" s="1"/>
    </row>
    <row r="434" ht="14.25" customHeight="1">
      <c r="B434" s="1"/>
    </row>
    <row r="435" ht="14.25" customHeight="1">
      <c r="B435" s="1"/>
    </row>
    <row r="436" ht="14.25" customHeight="1">
      <c r="B436" s="1"/>
    </row>
    <row r="437" ht="14.25" customHeight="1">
      <c r="B437" s="1"/>
    </row>
    <row r="438" ht="14.25" customHeight="1">
      <c r="B438" s="1"/>
    </row>
    <row r="439" ht="14.25" customHeight="1">
      <c r="B439" s="1"/>
    </row>
    <row r="440" ht="14.25" customHeight="1">
      <c r="B440" s="1"/>
    </row>
    <row r="441" ht="14.25" customHeight="1">
      <c r="B441" s="1"/>
    </row>
    <row r="442" ht="14.25" customHeight="1">
      <c r="B442" s="1"/>
    </row>
    <row r="443" ht="14.25" customHeight="1">
      <c r="B443" s="1"/>
    </row>
    <row r="444" ht="14.25" customHeight="1">
      <c r="B444" s="1"/>
    </row>
    <row r="445" ht="14.25" customHeight="1">
      <c r="B445" s="1"/>
    </row>
    <row r="446" ht="14.25" customHeight="1">
      <c r="B446" s="1"/>
    </row>
    <row r="447" ht="14.25" customHeight="1">
      <c r="B447" s="1"/>
    </row>
    <row r="448" ht="14.25" customHeight="1">
      <c r="B448" s="1"/>
    </row>
    <row r="449" ht="14.25" customHeight="1">
      <c r="B449" s="1"/>
    </row>
    <row r="450" ht="14.25" customHeight="1">
      <c r="B450" s="1"/>
    </row>
    <row r="451" ht="14.25" customHeight="1">
      <c r="B451" s="1"/>
    </row>
    <row r="452" ht="14.25" customHeight="1">
      <c r="B452" s="1"/>
    </row>
    <row r="453" ht="14.25" customHeight="1">
      <c r="B453" s="1"/>
    </row>
    <row r="454" ht="14.25" customHeight="1">
      <c r="B454" s="1"/>
    </row>
    <row r="455" ht="14.25" customHeight="1">
      <c r="B455" s="1"/>
    </row>
    <row r="456" ht="14.25" customHeight="1">
      <c r="B456" s="1"/>
    </row>
    <row r="457" ht="14.25" customHeight="1">
      <c r="B457" s="1"/>
    </row>
    <row r="458" ht="14.25" customHeight="1">
      <c r="B458" s="1"/>
    </row>
    <row r="459" ht="14.25" customHeight="1">
      <c r="B459" s="1"/>
    </row>
    <row r="460" ht="14.25" customHeight="1">
      <c r="B460" s="1"/>
    </row>
    <row r="461" ht="14.25" customHeight="1">
      <c r="B461" s="1"/>
    </row>
    <row r="462" ht="14.25" customHeight="1">
      <c r="B462" s="1"/>
    </row>
    <row r="463" ht="14.25" customHeight="1">
      <c r="B463" s="1"/>
    </row>
    <row r="464" ht="14.25" customHeight="1">
      <c r="B464" s="1"/>
    </row>
    <row r="465" ht="14.25" customHeight="1">
      <c r="B465" s="1"/>
    </row>
    <row r="466" ht="14.25" customHeight="1">
      <c r="B466" s="1"/>
    </row>
    <row r="467" ht="14.25" customHeight="1">
      <c r="B467" s="1"/>
    </row>
    <row r="468" ht="14.25" customHeight="1">
      <c r="B468" s="1"/>
    </row>
    <row r="469" ht="14.25" customHeight="1">
      <c r="B469" s="1"/>
    </row>
    <row r="470" ht="14.25" customHeight="1">
      <c r="B470" s="1"/>
    </row>
    <row r="471" ht="14.25" customHeight="1">
      <c r="B471" s="1"/>
    </row>
    <row r="472" ht="14.25" customHeight="1">
      <c r="B472" s="1"/>
    </row>
    <row r="473" ht="14.25" customHeight="1">
      <c r="B473" s="1"/>
    </row>
    <row r="474" ht="14.25" customHeight="1">
      <c r="B474" s="1"/>
    </row>
    <row r="475" ht="14.25" customHeight="1">
      <c r="B475" s="1"/>
    </row>
    <row r="476" ht="14.25" customHeight="1">
      <c r="B476" s="1"/>
    </row>
    <row r="477" ht="14.25" customHeight="1">
      <c r="B477" s="1"/>
    </row>
    <row r="478" ht="14.25" customHeight="1">
      <c r="B478" s="1"/>
    </row>
    <row r="479" ht="14.25" customHeight="1">
      <c r="B479" s="1"/>
    </row>
    <row r="480" ht="14.25" customHeight="1">
      <c r="B480" s="1"/>
    </row>
    <row r="481" ht="14.25" customHeight="1">
      <c r="B481" s="1"/>
    </row>
    <row r="482" ht="14.25" customHeight="1">
      <c r="B482" s="1"/>
    </row>
    <row r="483" ht="14.25" customHeight="1">
      <c r="B483" s="1"/>
    </row>
    <row r="484" ht="14.25" customHeight="1">
      <c r="B484" s="1"/>
    </row>
    <row r="485" ht="14.25" customHeight="1">
      <c r="B485" s="1"/>
    </row>
    <row r="486" ht="14.25" customHeight="1">
      <c r="B486" s="1"/>
    </row>
    <row r="487" ht="14.25" customHeight="1">
      <c r="B487" s="1"/>
    </row>
    <row r="488" ht="14.25" customHeight="1">
      <c r="B488" s="1"/>
    </row>
    <row r="489" ht="14.25" customHeight="1">
      <c r="B489" s="1"/>
    </row>
    <row r="490" ht="14.25" customHeight="1">
      <c r="B490" s="1"/>
    </row>
    <row r="491" ht="14.25" customHeight="1">
      <c r="B491" s="1"/>
    </row>
    <row r="492" ht="14.25" customHeight="1">
      <c r="B492" s="1"/>
    </row>
    <row r="493" ht="14.25" customHeight="1">
      <c r="B493" s="1"/>
    </row>
    <row r="494" ht="14.25" customHeight="1">
      <c r="B494" s="1"/>
    </row>
    <row r="495" ht="14.25" customHeight="1">
      <c r="B495" s="1"/>
    </row>
    <row r="496" ht="14.25" customHeight="1">
      <c r="B496" s="1"/>
    </row>
    <row r="497" ht="14.25" customHeight="1">
      <c r="B497" s="1"/>
    </row>
    <row r="498" ht="14.25" customHeight="1">
      <c r="B498" s="1"/>
    </row>
    <row r="499" ht="14.25" customHeight="1">
      <c r="B499" s="1"/>
    </row>
    <row r="500" ht="14.25" customHeight="1">
      <c r="B500" s="1"/>
    </row>
    <row r="501" ht="14.25" customHeight="1">
      <c r="B501" s="1"/>
    </row>
    <row r="502" ht="14.25" customHeight="1">
      <c r="B502" s="1"/>
    </row>
    <row r="503" ht="14.25" customHeight="1">
      <c r="B503" s="1"/>
    </row>
    <row r="504" ht="14.25" customHeight="1">
      <c r="B504" s="1"/>
    </row>
    <row r="505" ht="14.25" customHeight="1">
      <c r="B505" s="1"/>
    </row>
    <row r="506" ht="14.25" customHeight="1">
      <c r="B506" s="1"/>
    </row>
    <row r="507" ht="14.25" customHeight="1">
      <c r="B507" s="1"/>
    </row>
    <row r="508" ht="14.25" customHeight="1">
      <c r="B508" s="1"/>
    </row>
    <row r="509" ht="14.25" customHeight="1">
      <c r="B509" s="1"/>
    </row>
    <row r="510" ht="14.25" customHeight="1">
      <c r="B510" s="1"/>
    </row>
    <row r="511" ht="14.25" customHeight="1">
      <c r="B511" s="1"/>
    </row>
    <row r="512" ht="14.25" customHeight="1">
      <c r="B512" s="1"/>
    </row>
    <row r="513" ht="14.25" customHeight="1">
      <c r="B513" s="1"/>
    </row>
    <row r="514" ht="14.25" customHeight="1">
      <c r="B514" s="1"/>
    </row>
    <row r="515" ht="14.25" customHeight="1">
      <c r="B515" s="1"/>
    </row>
    <row r="516" ht="14.25" customHeight="1">
      <c r="B516" s="1"/>
    </row>
    <row r="517" ht="14.25" customHeight="1">
      <c r="B517" s="1"/>
    </row>
    <row r="518" ht="14.25" customHeight="1">
      <c r="B518" s="1"/>
    </row>
    <row r="519" ht="14.25" customHeight="1">
      <c r="B519" s="1"/>
    </row>
    <row r="520" ht="14.25" customHeight="1">
      <c r="B520" s="1"/>
    </row>
    <row r="521" ht="14.25" customHeight="1">
      <c r="B521" s="1"/>
    </row>
    <row r="522" ht="14.25" customHeight="1">
      <c r="B522" s="1"/>
    </row>
    <row r="523" ht="14.25" customHeight="1">
      <c r="B523" s="1"/>
    </row>
    <row r="524" ht="14.25" customHeight="1">
      <c r="B524" s="1"/>
    </row>
    <row r="525" ht="14.25" customHeight="1">
      <c r="B525" s="1"/>
    </row>
    <row r="526" ht="14.25" customHeight="1">
      <c r="B526" s="1"/>
    </row>
    <row r="527" ht="14.25" customHeight="1">
      <c r="B527" s="1"/>
    </row>
    <row r="528" ht="14.25" customHeight="1">
      <c r="B528" s="1"/>
    </row>
    <row r="529" ht="14.25" customHeight="1">
      <c r="B529" s="1"/>
    </row>
    <row r="530" ht="14.25" customHeight="1">
      <c r="B530" s="1"/>
    </row>
    <row r="531" ht="14.25" customHeight="1">
      <c r="B531" s="1"/>
    </row>
    <row r="532" ht="14.25" customHeight="1">
      <c r="B532" s="1"/>
    </row>
    <row r="533" ht="14.25" customHeight="1">
      <c r="B533" s="1"/>
    </row>
    <row r="534" ht="14.25" customHeight="1">
      <c r="B534" s="1"/>
    </row>
    <row r="535" ht="14.25" customHeight="1">
      <c r="B535" s="1"/>
    </row>
    <row r="536" ht="14.25" customHeight="1">
      <c r="B536" s="1"/>
    </row>
    <row r="537" ht="14.25" customHeight="1">
      <c r="B537" s="1"/>
    </row>
    <row r="538" ht="14.25" customHeight="1">
      <c r="B538" s="1"/>
    </row>
    <row r="539" ht="14.25" customHeight="1">
      <c r="B539" s="1"/>
    </row>
    <row r="540" ht="14.25" customHeight="1">
      <c r="B540" s="1"/>
    </row>
    <row r="541" ht="14.25" customHeight="1">
      <c r="B541" s="1"/>
    </row>
    <row r="542" ht="14.25" customHeight="1">
      <c r="B542" s="1"/>
    </row>
    <row r="543" ht="14.25" customHeight="1">
      <c r="B543" s="1"/>
    </row>
    <row r="544" ht="14.25" customHeight="1">
      <c r="B544" s="1"/>
    </row>
    <row r="545" ht="14.25" customHeight="1">
      <c r="B545" s="1"/>
    </row>
    <row r="546" ht="14.25" customHeight="1">
      <c r="B546" s="1"/>
    </row>
    <row r="547" ht="14.25" customHeight="1">
      <c r="B547" s="1"/>
    </row>
    <row r="548" ht="14.25" customHeight="1">
      <c r="B548" s="1"/>
    </row>
    <row r="549" ht="14.25" customHeight="1">
      <c r="B549" s="1"/>
    </row>
    <row r="550" ht="14.25" customHeight="1">
      <c r="B550" s="1"/>
    </row>
    <row r="551" ht="14.25" customHeight="1">
      <c r="B551" s="1"/>
    </row>
    <row r="552" ht="14.25" customHeight="1">
      <c r="B552" s="1"/>
    </row>
    <row r="553" ht="14.25" customHeight="1">
      <c r="B553" s="1"/>
    </row>
    <row r="554" ht="14.25" customHeight="1">
      <c r="B554" s="1"/>
    </row>
    <row r="555" ht="14.25" customHeight="1">
      <c r="B555" s="1"/>
    </row>
    <row r="556" ht="14.25" customHeight="1">
      <c r="B556" s="1"/>
    </row>
    <row r="557" ht="14.25" customHeight="1">
      <c r="B557" s="1"/>
    </row>
    <row r="558" ht="14.25" customHeight="1">
      <c r="B558" s="1"/>
    </row>
    <row r="559" ht="14.25" customHeight="1">
      <c r="B559" s="1"/>
    </row>
    <row r="560" ht="14.25" customHeight="1">
      <c r="B560" s="1"/>
    </row>
    <row r="561" ht="14.25" customHeight="1">
      <c r="B561" s="1"/>
    </row>
    <row r="562" ht="14.25" customHeight="1">
      <c r="B562" s="1"/>
    </row>
    <row r="563" ht="14.25" customHeight="1">
      <c r="B563" s="1"/>
    </row>
    <row r="564" ht="14.25" customHeight="1">
      <c r="B564" s="1"/>
    </row>
    <row r="565" ht="14.25" customHeight="1">
      <c r="B565" s="1"/>
    </row>
    <row r="566" ht="14.25" customHeight="1">
      <c r="B566" s="1"/>
    </row>
    <row r="567" ht="14.25" customHeight="1">
      <c r="B567" s="1"/>
    </row>
    <row r="568" ht="14.25" customHeight="1">
      <c r="B568" s="1"/>
    </row>
    <row r="569" ht="14.25" customHeight="1">
      <c r="B569" s="1"/>
    </row>
    <row r="570" ht="14.25" customHeight="1">
      <c r="B570" s="1"/>
    </row>
    <row r="571" ht="14.25" customHeight="1">
      <c r="B571" s="1"/>
    </row>
    <row r="572" ht="14.25" customHeight="1">
      <c r="B572" s="1"/>
    </row>
    <row r="573" ht="14.25" customHeight="1">
      <c r="B573" s="1"/>
    </row>
    <row r="574" ht="14.25" customHeight="1">
      <c r="B574" s="1"/>
    </row>
    <row r="575" ht="14.25" customHeight="1">
      <c r="B575" s="1"/>
    </row>
    <row r="576" ht="14.25" customHeight="1">
      <c r="B576" s="1"/>
    </row>
    <row r="577" ht="14.25" customHeight="1">
      <c r="B577" s="1"/>
    </row>
    <row r="578" ht="14.25" customHeight="1">
      <c r="B578" s="1"/>
    </row>
    <row r="579" ht="14.25" customHeight="1">
      <c r="B579" s="1"/>
    </row>
    <row r="580" ht="14.25" customHeight="1">
      <c r="B580" s="1"/>
    </row>
    <row r="581" ht="14.25" customHeight="1">
      <c r="B581" s="1"/>
    </row>
    <row r="582" ht="14.25" customHeight="1">
      <c r="B582" s="1"/>
    </row>
    <row r="583" ht="14.25" customHeight="1">
      <c r="B583" s="1"/>
    </row>
    <row r="584" ht="14.25" customHeight="1">
      <c r="B584" s="1"/>
    </row>
    <row r="585" ht="14.25" customHeight="1">
      <c r="B585" s="1"/>
    </row>
    <row r="586" ht="14.25" customHeight="1">
      <c r="B586" s="1"/>
    </row>
    <row r="587" ht="14.25" customHeight="1">
      <c r="B587" s="1"/>
    </row>
    <row r="588" ht="14.25" customHeight="1">
      <c r="B588" s="1"/>
    </row>
    <row r="589" ht="14.25" customHeight="1">
      <c r="B589" s="1"/>
    </row>
    <row r="590" ht="14.25" customHeight="1">
      <c r="B590" s="1"/>
    </row>
    <row r="591" ht="14.25" customHeight="1">
      <c r="B591" s="1"/>
    </row>
    <row r="592" ht="14.25" customHeight="1">
      <c r="B592" s="1"/>
    </row>
    <row r="593" ht="14.25" customHeight="1">
      <c r="B593" s="1"/>
    </row>
    <row r="594" ht="14.25" customHeight="1">
      <c r="B594" s="1"/>
    </row>
    <row r="595" ht="14.25" customHeight="1">
      <c r="B595" s="1"/>
    </row>
    <row r="596" ht="14.25" customHeight="1">
      <c r="B596" s="1"/>
    </row>
    <row r="597" ht="14.25" customHeight="1">
      <c r="B597" s="1"/>
    </row>
    <row r="598" ht="14.25" customHeight="1">
      <c r="B598" s="1"/>
    </row>
    <row r="599" ht="14.25" customHeight="1">
      <c r="B599" s="1"/>
    </row>
    <row r="600" ht="14.25" customHeight="1">
      <c r="B600" s="1"/>
    </row>
    <row r="601" ht="14.25" customHeight="1">
      <c r="B601" s="1"/>
    </row>
    <row r="602" ht="14.25" customHeight="1">
      <c r="B602" s="1"/>
    </row>
    <row r="603" ht="14.25" customHeight="1">
      <c r="B603" s="1"/>
    </row>
    <row r="604" ht="14.25" customHeight="1">
      <c r="B604" s="1"/>
    </row>
    <row r="605" ht="14.25" customHeight="1">
      <c r="B605" s="1"/>
    </row>
    <row r="606" ht="14.25" customHeight="1">
      <c r="B606" s="1"/>
    </row>
    <row r="607" ht="14.25" customHeight="1">
      <c r="B607" s="1"/>
    </row>
    <row r="608" ht="14.25" customHeight="1">
      <c r="B608" s="1"/>
    </row>
    <row r="609" ht="14.25" customHeight="1">
      <c r="B609" s="1"/>
    </row>
    <row r="610" ht="14.25" customHeight="1">
      <c r="B610" s="1"/>
    </row>
    <row r="611" ht="14.25" customHeight="1">
      <c r="B611" s="1"/>
    </row>
    <row r="612" ht="14.25" customHeight="1">
      <c r="B612" s="1"/>
    </row>
    <row r="613" ht="14.25" customHeight="1">
      <c r="B613" s="1"/>
    </row>
    <row r="614" ht="14.25" customHeight="1">
      <c r="B614" s="1"/>
    </row>
    <row r="615" ht="14.25" customHeight="1">
      <c r="B615" s="1"/>
    </row>
    <row r="616" ht="14.25" customHeight="1">
      <c r="B616" s="1"/>
    </row>
    <row r="617" ht="14.25" customHeight="1">
      <c r="B617" s="1"/>
    </row>
    <row r="618" ht="14.25" customHeight="1">
      <c r="B618" s="1"/>
    </row>
    <row r="619" ht="14.25" customHeight="1">
      <c r="B619" s="1"/>
    </row>
    <row r="620" ht="14.25" customHeight="1">
      <c r="B620" s="1"/>
    </row>
    <row r="621" ht="14.25" customHeight="1">
      <c r="B621" s="1"/>
    </row>
    <row r="622" ht="14.25" customHeight="1">
      <c r="B622" s="1"/>
    </row>
    <row r="623" ht="14.25" customHeight="1">
      <c r="B623" s="1"/>
    </row>
    <row r="624" ht="14.25" customHeight="1">
      <c r="B624" s="1"/>
    </row>
    <row r="625" ht="14.25" customHeight="1">
      <c r="B625" s="1"/>
    </row>
    <row r="626" ht="14.25" customHeight="1">
      <c r="B626" s="1"/>
    </row>
    <row r="627" ht="14.25" customHeight="1">
      <c r="B627" s="1"/>
    </row>
    <row r="628" ht="14.25" customHeight="1">
      <c r="B628" s="1"/>
    </row>
    <row r="629" ht="14.25" customHeight="1">
      <c r="B629" s="1"/>
    </row>
    <row r="630" ht="14.25" customHeight="1">
      <c r="B630" s="1"/>
    </row>
    <row r="631" ht="14.25" customHeight="1">
      <c r="B631" s="1"/>
    </row>
    <row r="632" ht="14.25" customHeight="1">
      <c r="B632" s="1"/>
    </row>
    <row r="633" ht="14.25" customHeight="1">
      <c r="B633" s="1"/>
    </row>
    <row r="634" ht="14.25" customHeight="1">
      <c r="B634" s="1"/>
    </row>
    <row r="635" ht="14.25" customHeight="1">
      <c r="B635" s="1"/>
    </row>
    <row r="636" ht="14.25" customHeight="1">
      <c r="B636" s="1"/>
    </row>
    <row r="637" ht="14.25" customHeight="1">
      <c r="B637" s="1"/>
    </row>
    <row r="638" ht="14.25" customHeight="1">
      <c r="B638" s="1"/>
    </row>
    <row r="639" ht="14.25" customHeight="1">
      <c r="B639" s="1"/>
    </row>
    <row r="640" ht="14.25" customHeight="1">
      <c r="B640" s="1"/>
    </row>
    <row r="641" ht="14.25" customHeight="1">
      <c r="B641" s="1"/>
    </row>
    <row r="642" ht="14.25" customHeight="1">
      <c r="B642" s="1"/>
    </row>
    <row r="643" ht="14.25" customHeight="1">
      <c r="B643" s="1"/>
    </row>
    <row r="644" ht="14.25" customHeight="1">
      <c r="B644" s="1"/>
    </row>
    <row r="645" ht="14.25" customHeight="1">
      <c r="B645" s="1"/>
    </row>
    <row r="646" ht="14.25" customHeight="1">
      <c r="B646" s="1"/>
    </row>
    <row r="647" ht="14.25" customHeight="1">
      <c r="B647" s="1"/>
    </row>
    <row r="648" ht="14.25" customHeight="1">
      <c r="B648" s="1"/>
    </row>
    <row r="649" ht="14.25" customHeight="1">
      <c r="B649" s="1"/>
    </row>
    <row r="650" ht="14.25" customHeight="1">
      <c r="B650" s="1"/>
    </row>
    <row r="651" ht="14.25" customHeight="1">
      <c r="B651" s="1"/>
    </row>
    <row r="652" ht="14.25" customHeight="1">
      <c r="B652" s="1"/>
    </row>
    <row r="653" ht="14.25" customHeight="1">
      <c r="B653" s="1"/>
    </row>
    <row r="654" ht="14.25" customHeight="1">
      <c r="B654" s="1"/>
    </row>
    <row r="655" ht="14.25" customHeight="1">
      <c r="B655" s="1"/>
    </row>
    <row r="656" ht="14.25" customHeight="1">
      <c r="B656" s="1"/>
    </row>
    <row r="657" ht="14.25" customHeight="1">
      <c r="B657" s="1"/>
    </row>
    <row r="658" ht="14.25" customHeight="1">
      <c r="B658" s="1"/>
    </row>
    <row r="659" ht="14.25" customHeight="1">
      <c r="B659" s="1"/>
    </row>
    <row r="660" ht="14.25" customHeight="1">
      <c r="B660" s="1"/>
    </row>
    <row r="661" ht="14.25" customHeight="1">
      <c r="B661" s="1"/>
    </row>
    <row r="662" ht="14.25" customHeight="1">
      <c r="B662" s="1"/>
    </row>
    <row r="663" ht="14.25" customHeight="1">
      <c r="B663" s="1"/>
    </row>
    <row r="664" ht="14.25" customHeight="1">
      <c r="B664" s="1"/>
    </row>
    <row r="665" ht="14.25" customHeight="1">
      <c r="B665" s="1"/>
    </row>
    <row r="666" ht="14.25" customHeight="1">
      <c r="B666" s="1"/>
    </row>
    <row r="667" ht="14.25" customHeight="1">
      <c r="B667" s="1"/>
    </row>
    <row r="668" ht="14.25" customHeight="1">
      <c r="B668" s="1"/>
    </row>
    <row r="669" ht="14.25" customHeight="1">
      <c r="B669" s="1"/>
    </row>
    <row r="670" ht="14.25" customHeight="1">
      <c r="B670" s="1"/>
    </row>
    <row r="671" ht="14.25" customHeight="1">
      <c r="B671" s="1"/>
    </row>
    <row r="672" ht="14.25" customHeight="1">
      <c r="B672" s="1"/>
    </row>
    <row r="673" ht="14.25" customHeight="1">
      <c r="B673" s="1"/>
    </row>
    <row r="674" ht="14.25" customHeight="1">
      <c r="B674" s="1"/>
    </row>
    <row r="675" ht="14.25" customHeight="1">
      <c r="B675" s="1"/>
    </row>
    <row r="676" ht="14.25" customHeight="1">
      <c r="B676" s="1"/>
    </row>
    <row r="677" ht="14.25" customHeight="1">
      <c r="B677" s="1"/>
    </row>
    <row r="678" ht="14.25" customHeight="1">
      <c r="B678" s="1"/>
    </row>
    <row r="679" ht="14.25" customHeight="1">
      <c r="B679" s="1"/>
    </row>
    <row r="680" ht="14.25" customHeight="1">
      <c r="B680" s="1"/>
    </row>
    <row r="681" ht="14.25" customHeight="1">
      <c r="B681" s="1"/>
    </row>
    <row r="682" ht="14.25" customHeight="1">
      <c r="B682" s="1"/>
    </row>
    <row r="683" ht="14.25" customHeight="1">
      <c r="B683" s="1"/>
    </row>
    <row r="684" ht="14.25" customHeight="1">
      <c r="B684" s="1"/>
    </row>
    <row r="685" ht="14.25" customHeight="1">
      <c r="B685" s="1"/>
    </row>
    <row r="686" ht="14.25" customHeight="1">
      <c r="B686" s="1"/>
    </row>
    <row r="687" ht="14.25" customHeight="1">
      <c r="B687" s="1"/>
    </row>
    <row r="688" ht="14.25" customHeight="1">
      <c r="B688" s="1"/>
    </row>
    <row r="689" ht="14.25" customHeight="1">
      <c r="B689" s="1"/>
    </row>
    <row r="690" ht="14.25" customHeight="1">
      <c r="B690" s="1"/>
    </row>
    <row r="691" ht="14.25" customHeight="1">
      <c r="B691" s="1"/>
    </row>
    <row r="692" ht="14.25" customHeight="1">
      <c r="B692" s="1"/>
    </row>
    <row r="693" ht="14.25" customHeight="1">
      <c r="B693" s="1"/>
    </row>
    <row r="694" ht="14.25" customHeight="1">
      <c r="B694" s="1"/>
    </row>
    <row r="695" ht="14.25" customHeight="1">
      <c r="B695" s="1"/>
    </row>
    <row r="696" ht="14.25" customHeight="1">
      <c r="B696" s="1"/>
    </row>
    <row r="697" ht="14.25" customHeight="1">
      <c r="B697" s="1"/>
    </row>
    <row r="698" ht="14.25" customHeight="1">
      <c r="B698" s="1"/>
    </row>
    <row r="699" ht="14.25" customHeight="1">
      <c r="B699" s="1"/>
    </row>
    <row r="700" ht="14.25" customHeight="1">
      <c r="B700" s="1"/>
    </row>
    <row r="701" ht="14.25" customHeight="1">
      <c r="B701" s="1"/>
    </row>
    <row r="702" ht="14.25" customHeight="1">
      <c r="B702" s="1"/>
    </row>
    <row r="703" ht="14.25" customHeight="1">
      <c r="B703" s="1"/>
    </row>
    <row r="704" ht="14.25" customHeight="1">
      <c r="B704" s="1"/>
    </row>
    <row r="705" ht="14.25" customHeight="1">
      <c r="B705" s="1"/>
    </row>
    <row r="706" ht="14.25" customHeight="1">
      <c r="B706" s="1"/>
    </row>
    <row r="707" ht="14.25" customHeight="1">
      <c r="B707" s="1"/>
    </row>
    <row r="708" ht="14.25" customHeight="1">
      <c r="B708" s="1"/>
    </row>
    <row r="709" ht="14.25" customHeight="1">
      <c r="B709" s="1"/>
    </row>
    <row r="710" ht="14.25" customHeight="1">
      <c r="B710" s="1"/>
    </row>
    <row r="711" ht="14.25" customHeight="1">
      <c r="B711" s="1"/>
    </row>
    <row r="712" ht="14.25" customHeight="1">
      <c r="B712" s="1"/>
    </row>
    <row r="713" ht="14.25" customHeight="1">
      <c r="B713" s="1"/>
    </row>
    <row r="714" ht="14.25" customHeight="1">
      <c r="B714" s="1"/>
    </row>
    <row r="715" ht="14.25" customHeight="1">
      <c r="B715" s="1"/>
    </row>
    <row r="716" ht="14.25" customHeight="1">
      <c r="B716" s="1"/>
    </row>
    <row r="717" ht="14.25" customHeight="1">
      <c r="B717" s="1"/>
    </row>
    <row r="718" ht="14.25" customHeight="1">
      <c r="B718" s="1"/>
    </row>
    <row r="719" ht="14.25" customHeight="1">
      <c r="B719" s="1"/>
    </row>
    <row r="720" ht="14.25" customHeight="1">
      <c r="B720" s="1"/>
    </row>
    <row r="721" ht="14.25" customHeight="1">
      <c r="B721" s="1"/>
    </row>
    <row r="722" ht="14.25" customHeight="1">
      <c r="B722" s="1"/>
    </row>
    <row r="723" ht="14.25" customHeight="1">
      <c r="B723" s="1"/>
    </row>
    <row r="724" ht="14.25" customHeight="1">
      <c r="B724" s="1"/>
    </row>
    <row r="725" ht="14.25" customHeight="1">
      <c r="B725" s="1"/>
    </row>
    <row r="726" ht="14.25" customHeight="1">
      <c r="B726" s="1"/>
    </row>
    <row r="727" ht="14.25" customHeight="1">
      <c r="B727" s="1"/>
    </row>
    <row r="728" ht="14.25" customHeight="1">
      <c r="B728" s="1"/>
    </row>
    <row r="729" ht="14.25" customHeight="1">
      <c r="B729" s="1"/>
    </row>
    <row r="730" ht="14.25" customHeight="1">
      <c r="B730" s="1"/>
    </row>
    <row r="731" ht="14.25" customHeight="1">
      <c r="B731" s="1"/>
    </row>
    <row r="732" ht="14.25" customHeight="1">
      <c r="B732" s="1"/>
    </row>
    <row r="733" ht="14.25" customHeight="1">
      <c r="B733" s="1"/>
    </row>
    <row r="734" ht="14.25" customHeight="1">
      <c r="B734" s="1"/>
    </row>
    <row r="735" ht="14.25" customHeight="1">
      <c r="B735" s="1"/>
    </row>
    <row r="736" ht="14.25" customHeight="1">
      <c r="B736" s="1"/>
    </row>
    <row r="737" ht="14.25" customHeight="1">
      <c r="B737" s="1"/>
    </row>
    <row r="738" ht="14.25" customHeight="1">
      <c r="B738" s="1"/>
    </row>
    <row r="739" ht="14.25" customHeight="1">
      <c r="B739" s="1"/>
    </row>
    <row r="740" ht="14.25" customHeight="1">
      <c r="B740" s="1"/>
    </row>
    <row r="741" ht="14.25" customHeight="1">
      <c r="B741" s="1"/>
    </row>
    <row r="742" ht="14.25" customHeight="1">
      <c r="B742" s="1"/>
    </row>
    <row r="743" ht="14.25" customHeight="1">
      <c r="B743" s="1"/>
    </row>
    <row r="744" ht="14.25" customHeight="1">
      <c r="B744" s="1"/>
    </row>
    <row r="745" ht="14.25" customHeight="1">
      <c r="B745" s="1"/>
    </row>
    <row r="746" ht="14.25" customHeight="1">
      <c r="B746" s="1"/>
    </row>
    <row r="747" ht="14.25" customHeight="1">
      <c r="B747" s="1"/>
    </row>
    <row r="748" ht="14.25" customHeight="1">
      <c r="B748" s="1"/>
    </row>
    <row r="749" ht="14.25" customHeight="1">
      <c r="B749" s="1"/>
    </row>
    <row r="750" ht="14.25" customHeight="1">
      <c r="B750" s="1"/>
    </row>
    <row r="751" ht="14.25" customHeight="1">
      <c r="B751" s="1"/>
    </row>
    <row r="752" ht="14.25" customHeight="1">
      <c r="B752" s="1"/>
    </row>
    <row r="753" ht="14.25" customHeight="1">
      <c r="B753" s="1"/>
    </row>
    <row r="754" ht="14.25" customHeight="1">
      <c r="B754" s="1"/>
    </row>
    <row r="755" ht="14.25" customHeight="1">
      <c r="B755" s="1"/>
    </row>
    <row r="756" ht="14.25" customHeight="1">
      <c r="B756" s="1"/>
    </row>
    <row r="757" ht="14.25" customHeight="1">
      <c r="B757" s="1"/>
    </row>
    <row r="758" ht="14.25" customHeight="1">
      <c r="B758" s="1"/>
    </row>
    <row r="759" ht="14.25" customHeight="1">
      <c r="B759" s="1"/>
    </row>
    <row r="760" ht="14.25" customHeight="1">
      <c r="B760" s="1"/>
    </row>
    <row r="761" ht="14.25" customHeight="1">
      <c r="B761" s="1"/>
    </row>
    <row r="762" ht="14.25" customHeight="1">
      <c r="B762" s="1"/>
    </row>
    <row r="763" ht="14.25" customHeight="1">
      <c r="B763" s="1"/>
    </row>
    <row r="764" ht="14.25" customHeight="1">
      <c r="B764" s="1"/>
    </row>
    <row r="765" ht="14.25" customHeight="1">
      <c r="B765" s="1"/>
    </row>
    <row r="766" ht="14.25" customHeight="1">
      <c r="B766" s="1"/>
    </row>
    <row r="767" ht="14.25" customHeight="1">
      <c r="B767" s="1"/>
    </row>
    <row r="768" ht="14.25" customHeight="1">
      <c r="B768" s="1"/>
    </row>
    <row r="769" ht="14.25" customHeight="1">
      <c r="B769" s="1"/>
    </row>
    <row r="770" ht="14.25" customHeight="1">
      <c r="B770" s="1"/>
    </row>
    <row r="771" ht="14.25" customHeight="1">
      <c r="B771" s="1"/>
    </row>
    <row r="772" ht="14.25" customHeight="1">
      <c r="B772" s="1"/>
    </row>
    <row r="773" ht="14.25" customHeight="1">
      <c r="B773" s="1"/>
    </row>
    <row r="774" ht="14.25" customHeight="1">
      <c r="B774" s="1"/>
    </row>
    <row r="775" ht="14.25" customHeight="1">
      <c r="B775" s="1"/>
    </row>
    <row r="776" ht="14.25" customHeight="1">
      <c r="B776" s="1"/>
    </row>
    <row r="777" ht="14.25" customHeight="1">
      <c r="B777" s="1"/>
    </row>
    <row r="778" ht="14.25" customHeight="1">
      <c r="B778" s="1"/>
    </row>
    <row r="779" ht="14.25" customHeight="1">
      <c r="B779" s="1"/>
    </row>
    <row r="780" ht="14.25" customHeight="1">
      <c r="B780" s="1"/>
    </row>
    <row r="781" ht="14.25" customHeight="1">
      <c r="B781" s="1"/>
    </row>
    <row r="782" ht="14.25" customHeight="1">
      <c r="B782" s="1"/>
    </row>
    <row r="783" ht="14.25" customHeight="1">
      <c r="B783" s="1"/>
    </row>
    <row r="784" ht="14.25" customHeight="1">
      <c r="B784" s="1"/>
    </row>
    <row r="785" ht="14.25" customHeight="1">
      <c r="B785" s="1"/>
    </row>
    <row r="786" ht="14.25" customHeight="1">
      <c r="B786" s="1"/>
    </row>
    <row r="787" ht="14.25" customHeight="1">
      <c r="B787" s="1"/>
    </row>
    <row r="788" ht="14.25" customHeight="1">
      <c r="B788" s="1"/>
    </row>
    <row r="789" ht="14.25" customHeight="1">
      <c r="B789" s="1"/>
    </row>
    <row r="790" ht="14.25" customHeight="1">
      <c r="B790" s="1"/>
    </row>
    <row r="791" ht="14.25" customHeight="1">
      <c r="B791" s="1"/>
    </row>
    <row r="792" ht="14.25" customHeight="1">
      <c r="B792" s="1"/>
    </row>
    <row r="793" ht="14.25" customHeight="1">
      <c r="B793" s="1"/>
    </row>
    <row r="794" ht="14.25" customHeight="1">
      <c r="B794" s="1"/>
    </row>
    <row r="795" ht="14.25" customHeight="1">
      <c r="B795" s="1"/>
    </row>
    <row r="796" ht="14.25" customHeight="1">
      <c r="B796" s="1"/>
    </row>
    <row r="797" ht="14.25" customHeight="1">
      <c r="B797" s="1"/>
    </row>
    <row r="798" ht="14.25" customHeight="1">
      <c r="B798" s="1"/>
    </row>
    <row r="799" ht="14.25" customHeight="1">
      <c r="B799" s="1"/>
    </row>
    <row r="800" ht="14.25" customHeight="1">
      <c r="B800" s="1"/>
    </row>
    <row r="801" ht="14.25" customHeight="1">
      <c r="B801" s="1"/>
    </row>
    <row r="802" ht="14.25" customHeight="1">
      <c r="B802" s="1"/>
    </row>
    <row r="803" ht="14.25" customHeight="1">
      <c r="B803" s="1"/>
    </row>
    <row r="804" ht="14.25" customHeight="1">
      <c r="B804" s="1"/>
    </row>
    <row r="805" ht="14.25" customHeight="1">
      <c r="B805" s="1"/>
    </row>
    <row r="806" ht="14.25" customHeight="1">
      <c r="B806" s="1"/>
    </row>
    <row r="807" ht="14.25" customHeight="1">
      <c r="B807" s="1"/>
    </row>
    <row r="808" ht="14.25" customHeight="1">
      <c r="B808" s="1"/>
    </row>
    <row r="809" ht="14.25" customHeight="1">
      <c r="B809" s="1"/>
    </row>
    <row r="810" ht="14.25" customHeight="1">
      <c r="B810" s="1"/>
    </row>
    <row r="811" ht="14.25" customHeight="1">
      <c r="B811" s="1"/>
    </row>
    <row r="812" ht="14.25" customHeight="1">
      <c r="B812" s="1"/>
    </row>
    <row r="813" ht="14.25" customHeight="1">
      <c r="B813" s="1"/>
    </row>
    <row r="814" ht="14.25" customHeight="1">
      <c r="B814" s="1"/>
    </row>
    <row r="815" ht="14.25" customHeight="1">
      <c r="B815" s="1"/>
    </row>
    <row r="816" ht="14.25" customHeight="1">
      <c r="B816" s="1"/>
    </row>
    <row r="817" ht="14.25" customHeight="1">
      <c r="B817" s="1"/>
    </row>
    <row r="818" ht="14.25" customHeight="1">
      <c r="B818" s="1"/>
    </row>
    <row r="819" ht="14.25" customHeight="1">
      <c r="B819" s="1"/>
    </row>
    <row r="820" ht="14.25" customHeight="1">
      <c r="B820" s="1"/>
    </row>
    <row r="821" ht="14.25" customHeight="1">
      <c r="B821" s="1"/>
    </row>
    <row r="822" ht="14.25" customHeight="1">
      <c r="B822" s="1"/>
    </row>
    <row r="823" ht="14.25" customHeight="1">
      <c r="B823" s="1"/>
    </row>
    <row r="824" ht="14.25" customHeight="1">
      <c r="B824" s="1"/>
    </row>
    <row r="825" ht="14.25" customHeight="1">
      <c r="B825" s="1"/>
    </row>
    <row r="826" ht="14.25" customHeight="1">
      <c r="B826" s="1"/>
    </row>
    <row r="827" ht="14.25" customHeight="1">
      <c r="B827" s="1"/>
    </row>
    <row r="828" ht="14.25" customHeight="1">
      <c r="B828" s="1"/>
    </row>
    <row r="829" ht="14.25" customHeight="1">
      <c r="B829" s="1"/>
    </row>
    <row r="830" ht="14.25" customHeight="1">
      <c r="B830" s="1"/>
    </row>
    <row r="831" ht="14.25" customHeight="1">
      <c r="B831" s="1"/>
    </row>
    <row r="832" ht="14.25" customHeight="1">
      <c r="B832" s="1"/>
    </row>
    <row r="833" ht="14.25" customHeight="1">
      <c r="B833" s="1"/>
    </row>
    <row r="834" ht="14.25" customHeight="1">
      <c r="B834" s="1"/>
    </row>
    <row r="835" ht="14.25" customHeight="1">
      <c r="B835" s="1"/>
    </row>
    <row r="836" ht="14.25" customHeight="1">
      <c r="B836" s="1"/>
    </row>
    <row r="837" ht="14.25" customHeight="1">
      <c r="B837" s="1"/>
    </row>
    <row r="838" ht="14.25" customHeight="1">
      <c r="B838" s="1"/>
    </row>
    <row r="839" ht="14.25" customHeight="1">
      <c r="B839" s="1"/>
    </row>
    <row r="840" ht="14.25" customHeight="1">
      <c r="B840" s="1"/>
    </row>
    <row r="841" ht="14.25" customHeight="1">
      <c r="B841" s="1"/>
    </row>
    <row r="842" ht="14.25" customHeight="1">
      <c r="B842" s="1"/>
    </row>
    <row r="843" ht="14.25" customHeight="1">
      <c r="B843" s="1"/>
    </row>
    <row r="844" ht="14.25" customHeight="1">
      <c r="B844" s="1"/>
    </row>
    <row r="845" ht="14.25" customHeight="1">
      <c r="B845" s="1"/>
    </row>
    <row r="846" ht="14.25" customHeight="1">
      <c r="B846" s="1"/>
    </row>
    <row r="847" ht="14.25" customHeight="1">
      <c r="B847" s="1"/>
    </row>
    <row r="848" ht="14.25" customHeight="1">
      <c r="B848" s="1"/>
    </row>
    <row r="849" ht="14.25" customHeight="1">
      <c r="B849" s="1"/>
    </row>
    <row r="850" ht="14.25" customHeight="1">
      <c r="B850" s="1"/>
    </row>
    <row r="851" ht="14.25" customHeight="1">
      <c r="B851" s="1"/>
    </row>
    <row r="852" ht="14.25" customHeight="1">
      <c r="B852" s="1"/>
    </row>
    <row r="853" ht="14.25" customHeight="1">
      <c r="B853" s="1"/>
    </row>
    <row r="854" ht="14.25" customHeight="1">
      <c r="B854" s="1"/>
    </row>
    <row r="855" ht="14.25" customHeight="1">
      <c r="B855" s="1"/>
    </row>
    <row r="856" ht="14.25" customHeight="1">
      <c r="B856" s="1"/>
    </row>
    <row r="857" ht="14.25" customHeight="1">
      <c r="B857" s="1"/>
    </row>
    <row r="858" ht="14.25" customHeight="1">
      <c r="B858" s="1"/>
    </row>
    <row r="859" ht="14.25" customHeight="1">
      <c r="B859" s="1"/>
    </row>
    <row r="860" ht="14.25" customHeight="1">
      <c r="B860" s="1"/>
    </row>
    <row r="861" ht="14.25" customHeight="1">
      <c r="B861" s="1"/>
    </row>
    <row r="862" ht="14.25" customHeight="1">
      <c r="B862" s="1"/>
    </row>
    <row r="863" ht="14.25" customHeight="1">
      <c r="B863" s="1"/>
    </row>
    <row r="864" ht="14.25" customHeight="1">
      <c r="B864" s="1"/>
    </row>
    <row r="865" ht="14.25" customHeight="1">
      <c r="B865" s="1"/>
    </row>
    <row r="866" ht="14.25" customHeight="1">
      <c r="B866" s="1"/>
    </row>
    <row r="867" ht="14.25" customHeight="1">
      <c r="B867" s="1"/>
    </row>
    <row r="868" ht="14.25" customHeight="1">
      <c r="B868" s="1"/>
    </row>
    <row r="869" ht="14.25" customHeight="1">
      <c r="B869" s="1"/>
    </row>
    <row r="870" ht="14.25" customHeight="1">
      <c r="B870" s="1"/>
    </row>
    <row r="871" ht="14.25" customHeight="1">
      <c r="B871" s="1"/>
    </row>
    <row r="872" ht="14.25" customHeight="1">
      <c r="B872" s="1"/>
    </row>
    <row r="873" ht="14.25" customHeight="1">
      <c r="B873" s="1"/>
    </row>
    <row r="874" ht="14.25" customHeight="1">
      <c r="B874" s="1"/>
    </row>
    <row r="875" ht="14.25" customHeight="1">
      <c r="B875" s="1"/>
    </row>
    <row r="876" ht="14.25" customHeight="1">
      <c r="B876" s="1"/>
    </row>
    <row r="877" ht="14.25" customHeight="1">
      <c r="B877" s="1"/>
    </row>
    <row r="878" ht="14.25" customHeight="1">
      <c r="B878" s="1"/>
    </row>
    <row r="879" ht="14.25" customHeight="1">
      <c r="B879" s="1"/>
    </row>
    <row r="880" ht="14.25" customHeight="1">
      <c r="B880" s="1"/>
    </row>
    <row r="881" ht="14.25" customHeight="1">
      <c r="B881" s="1"/>
    </row>
    <row r="882" ht="14.25" customHeight="1">
      <c r="B882" s="1"/>
    </row>
    <row r="883" ht="14.25" customHeight="1">
      <c r="B883" s="1"/>
    </row>
    <row r="884" ht="14.25" customHeight="1">
      <c r="B884" s="1"/>
    </row>
    <row r="885" ht="14.25" customHeight="1">
      <c r="B885" s="1"/>
    </row>
    <row r="886" ht="14.25" customHeight="1">
      <c r="B886" s="1"/>
    </row>
    <row r="887" ht="14.25" customHeight="1">
      <c r="B887" s="1"/>
    </row>
    <row r="888" ht="14.25" customHeight="1">
      <c r="B888" s="1"/>
    </row>
    <row r="889" ht="14.25" customHeight="1">
      <c r="B889" s="1"/>
    </row>
    <row r="890" ht="14.25" customHeight="1">
      <c r="B890" s="1"/>
    </row>
    <row r="891" ht="14.25" customHeight="1">
      <c r="B891" s="1"/>
    </row>
    <row r="892" ht="14.25" customHeight="1">
      <c r="B892" s="1"/>
    </row>
    <row r="893" ht="14.25" customHeight="1">
      <c r="B893" s="1"/>
    </row>
    <row r="894" ht="14.25" customHeight="1">
      <c r="B894" s="1"/>
    </row>
    <row r="895" ht="14.25" customHeight="1">
      <c r="B895" s="1"/>
    </row>
    <row r="896" ht="14.25" customHeight="1">
      <c r="B896" s="1"/>
    </row>
    <row r="897" ht="14.25" customHeight="1">
      <c r="B897" s="1"/>
    </row>
    <row r="898" ht="14.25" customHeight="1">
      <c r="B898" s="1"/>
    </row>
    <row r="899" ht="14.25" customHeight="1">
      <c r="B899" s="1"/>
    </row>
    <row r="900" ht="14.25" customHeight="1">
      <c r="B900" s="1"/>
    </row>
    <row r="901" ht="14.25" customHeight="1">
      <c r="B901" s="1"/>
    </row>
    <row r="902" ht="14.25" customHeight="1">
      <c r="B902" s="1"/>
    </row>
    <row r="903" ht="14.25" customHeight="1">
      <c r="B903" s="1"/>
    </row>
    <row r="904" ht="14.25" customHeight="1">
      <c r="B904" s="1"/>
    </row>
    <row r="905" ht="14.25" customHeight="1">
      <c r="B905" s="1"/>
    </row>
    <row r="906" ht="14.25" customHeight="1">
      <c r="B906" s="1"/>
    </row>
    <row r="907" ht="14.25" customHeight="1">
      <c r="B907" s="1"/>
    </row>
    <row r="908" ht="14.25" customHeight="1">
      <c r="B908" s="1"/>
    </row>
    <row r="909" ht="14.25" customHeight="1">
      <c r="B909" s="1"/>
    </row>
    <row r="910" ht="14.25" customHeight="1">
      <c r="B910" s="1"/>
    </row>
    <row r="911" ht="14.25" customHeight="1">
      <c r="B911" s="1"/>
    </row>
    <row r="912" ht="14.25" customHeight="1">
      <c r="B912" s="1"/>
    </row>
    <row r="913" ht="14.25" customHeight="1">
      <c r="B913" s="1"/>
    </row>
    <row r="914" ht="14.25" customHeight="1">
      <c r="B914" s="1"/>
    </row>
    <row r="915" ht="14.25" customHeight="1">
      <c r="B915" s="1"/>
    </row>
    <row r="916" ht="14.25" customHeight="1">
      <c r="B916" s="1"/>
    </row>
    <row r="917" ht="14.25" customHeight="1">
      <c r="B917" s="1"/>
    </row>
    <row r="918" ht="14.25" customHeight="1">
      <c r="B918" s="1"/>
    </row>
    <row r="919" ht="14.25" customHeight="1">
      <c r="B919" s="1"/>
    </row>
    <row r="920" ht="14.25" customHeight="1">
      <c r="B920" s="1"/>
    </row>
    <row r="921" ht="14.25" customHeight="1">
      <c r="B921" s="1"/>
    </row>
    <row r="922" ht="14.25" customHeight="1">
      <c r="B922" s="1"/>
    </row>
    <row r="923" ht="14.25" customHeight="1">
      <c r="B923" s="1"/>
    </row>
    <row r="924" ht="14.25" customHeight="1">
      <c r="B924" s="1"/>
    </row>
    <row r="925" ht="14.25" customHeight="1">
      <c r="B925" s="1"/>
    </row>
    <row r="926" ht="14.25" customHeight="1">
      <c r="B926" s="1"/>
    </row>
    <row r="927" ht="14.25" customHeight="1">
      <c r="B927" s="1"/>
    </row>
    <row r="928" ht="14.25" customHeight="1">
      <c r="B928" s="1"/>
    </row>
    <row r="929" ht="14.25" customHeight="1">
      <c r="B929" s="1"/>
    </row>
    <row r="930" ht="14.25" customHeight="1">
      <c r="B930" s="1"/>
    </row>
    <row r="931" ht="14.25" customHeight="1">
      <c r="B931" s="1"/>
    </row>
    <row r="932" ht="14.25" customHeight="1">
      <c r="B932" s="1"/>
    </row>
    <row r="933" ht="14.25" customHeight="1">
      <c r="B933" s="1"/>
    </row>
    <row r="934" ht="14.25" customHeight="1">
      <c r="B934" s="1"/>
    </row>
    <row r="935" ht="14.25" customHeight="1">
      <c r="B935" s="1"/>
    </row>
    <row r="936" ht="14.25" customHeight="1">
      <c r="B936" s="1"/>
    </row>
    <row r="937" ht="14.25" customHeight="1">
      <c r="B937" s="1"/>
    </row>
    <row r="938" ht="14.25" customHeight="1">
      <c r="B938" s="1"/>
    </row>
    <row r="939" ht="14.25" customHeight="1">
      <c r="B939" s="1"/>
    </row>
    <row r="940" ht="14.25" customHeight="1">
      <c r="B940" s="1"/>
    </row>
    <row r="941" ht="14.25" customHeight="1">
      <c r="B941" s="1"/>
    </row>
    <row r="942" ht="14.25" customHeight="1">
      <c r="B942" s="1"/>
    </row>
    <row r="943" ht="14.25" customHeight="1">
      <c r="B943" s="1"/>
    </row>
    <row r="944" ht="14.25" customHeight="1">
      <c r="B944" s="1"/>
    </row>
    <row r="945" ht="14.25" customHeight="1">
      <c r="B945" s="1"/>
    </row>
    <row r="946" ht="14.25" customHeight="1">
      <c r="B946" s="1"/>
    </row>
    <row r="947" ht="14.25" customHeight="1">
      <c r="B947" s="1"/>
    </row>
    <row r="948" ht="14.25" customHeight="1">
      <c r="B948" s="1"/>
    </row>
    <row r="949" ht="14.25" customHeight="1">
      <c r="B949" s="1"/>
    </row>
    <row r="950" ht="14.25" customHeight="1">
      <c r="B950" s="1"/>
    </row>
    <row r="951" ht="14.25" customHeight="1">
      <c r="B951" s="1"/>
    </row>
    <row r="952" ht="14.25" customHeight="1">
      <c r="B952" s="1"/>
    </row>
    <row r="953" ht="14.25" customHeight="1">
      <c r="B953" s="1"/>
    </row>
    <row r="954" ht="14.25" customHeight="1">
      <c r="B954" s="1"/>
    </row>
    <row r="955" ht="14.25" customHeight="1">
      <c r="B955" s="1"/>
    </row>
    <row r="956" ht="14.25" customHeight="1">
      <c r="B956" s="1"/>
    </row>
    <row r="957" ht="14.25" customHeight="1">
      <c r="B957" s="1"/>
    </row>
    <row r="958" ht="14.25" customHeight="1">
      <c r="B958" s="1"/>
    </row>
    <row r="959" ht="14.25" customHeight="1">
      <c r="B959" s="1"/>
    </row>
    <row r="960" ht="14.25" customHeight="1">
      <c r="B960" s="1"/>
    </row>
    <row r="961" ht="14.25" customHeight="1">
      <c r="B961" s="1"/>
    </row>
    <row r="962" ht="14.25" customHeight="1">
      <c r="B962" s="1"/>
    </row>
    <row r="963" ht="14.25" customHeight="1">
      <c r="B963" s="1"/>
    </row>
    <row r="964" ht="14.25" customHeight="1">
      <c r="B964" s="1"/>
    </row>
    <row r="965" ht="14.25" customHeight="1">
      <c r="B965" s="1"/>
    </row>
    <row r="966" ht="14.25" customHeight="1">
      <c r="B966" s="1"/>
    </row>
    <row r="967" ht="14.25" customHeight="1">
      <c r="B967" s="1"/>
    </row>
    <row r="968" ht="14.25" customHeight="1">
      <c r="B968" s="1"/>
    </row>
    <row r="969" ht="14.25" customHeight="1">
      <c r="B969" s="1"/>
    </row>
    <row r="970" ht="14.25" customHeight="1">
      <c r="B970" s="1"/>
    </row>
    <row r="971" ht="14.25" customHeight="1">
      <c r="B971" s="1"/>
    </row>
    <row r="972" ht="14.25" customHeight="1">
      <c r="B972" s="1"/>
    </row>
    <row r="973" ht="14.25" customHeight="1">
      <c r="B973" s="1"/>
    </row>
    <row r="974" ht="14.25" customHeight="1">
      <c r="B974" s="1"/>
    </row>
    <row r="975" ht="14.25" customHeight="1">
      <c r="B975" s="1"/>
    </row>
    <row r="976" ht="14.25" customHeight="1">
      <c r="B976" s="1"/>
    </row>
    <row r="977" ht="14.25" customHeight="1">
      <c r="B977" s="1"/>
    </row>
    <row r="978" ht="14.25" customHeight="1">
      <c r="B978" s="1"/>
    </row>
    <row r="979" ht="14.25" customHeight="1">
      <c r="B979" s="1"/>
    </row>
    <row r="980" ht="14.25" customHeight="1">
      <c r="B980" s="1"/>
    </row>
    <row r="981" ht="14.25" customHeight="1">
      <c r="B981" s="1"/>
    </row>
    <row r="982" ht="14.25" customHeight="1">
      <c r="B982" s="1"/>
    </row>
    <row r="983" ht="14.25" customHeight="1">
      <c r="B983" s="1"/>
    </row>
    <row r="984" ht="14.25" customHeight="1">
      <c r="B984" s="1"/>
    </row>
    <row r="985" ht="14.25" customHeight="1">
      <c r="B985" s="1"/>
    </row>
    <row r="986" ht="14.25" customHeight="1">
      <c r="B986" s="1"/>
    </row>
    <row r="987" ht="14.25" customHeight="1">
      <c r="B987" s="1"/>
    </row>
    <row r="988" ht="14.25" customHeight="1">
      <c r="B988" s="1"/>
    </row>
    <row r="989" ht="14.25" customHeight="1">
      <c r="B989" s="1"/>
    </row>
    <row r="990" ht="14.25" customHeight="1">
      <c r="B990" s="1"/>
    </row>
    <row r="991" ht="14.25" customHeight="1">
      <c r="B991" s="1"/>
    </row>
    <row r="992" ht="14.25" customHeight="1">
      <c r="B992" s="1"/>
    </row>
    <row r="993" ht="14.25" customHeight="1">
      <c r="B993" s="1"/>
    </row>
    <row r="994" ht="14.25" customHeight="1">
      <c r="B994" s="1"/>
    </row>
    <row r="995" ht="14.25" customHeight="1">
      <c r="B995" s="1"/>
    </row>
    <row r="996" ht="14.25" customHeight="1">
      <c r="B996" s="1"/>
    </row>
    <row r="997" ht="14.25" customHeight="1">
      <c r="B997" s="1"/>
    </row>
    <row r="998" ht="14.25" customHeight="1">
      <c r="B998" s="1"/>
    </row>
    <row r="999" ht="14.25" customHeight="1">
      <c r="B999" s="1"/>
    </row>
    <row r="1000" ht="14.25" customHeight="1">
      <c r="B1000" s="1"/>
    </row>
  </sheetData>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14"/>
    <col customWidth="1" min="2" max="2" width="35.14"/>
    <col customWidth="1" min="3" max="3" width="121.43"/>
    <col customWidth="1" min="4" max="4" width="15.57"/>
    <col customWidth="1" min="5" max="26" width="8.71"/>
  </cols>
  <sheetData>
    <row r="1" ht="14.25" customHeight="1">
      <c r="A1" s="19" t="s">
        <v>694</v>
      </c>
      <c r="B1" s="19" t="s">
        <v>695</v>
      </c>
      <c r="C1" s="19" t="s">
        <v>696</v>
      </c>
      <c r="D1" s="22" t="s">
        <v>697</v>
      </c>
    </row>
    <row r="2" ht="14.25" customHeight="1">
      <c r="A2" s="21">
        <v>2016.0</v>
      </c>
      <c r="B2" s="21" t="s">
        <v>40</v>
      </c>
      <c r="C2" s="2" t="s">
        <v>698</v>
      </c>
      <c r="D2" s="21">
        <f>COUNTIF(projects_table!B:B,B2)</f>
        <v>9</v>
      </c>
    </row>
    <row r="3" ht="14.25" customHeight="1">
      <c r="A3" s="21">
        <v>2016.0</v>
      </c>
      <c r="B3" s="21" t="s">
        <v>123</v>
      </c>
      <c r="C3" s="2" t="s">
        <v>699</v>
      </c>
      <c r="D3" s="21">
        <f>COUNTIF(projects_table!B:B,B3)</f>
        <v>35</v>
      </c>
    </row>
    <row r="4" ht="14.25" customHeight="1">
      <c r="A4" s="21">
        <v>2018.0</v>
      </c>
      <c r="B4" s="21" t="s">
        <v>382</v>
      </c>
      <c r="C4" s="1"/>
      <c r="D4" s="21">
        <f>COUNTIF(projects_table!B:B,B4)</f>
        <v>11</v>
      </c>
    </row>
    <row r="5" ht="14.25" customHeight="1">
      <c r="A5" s="21">
        <v>2019.0</v>
      </c>
      <c r="B5" s="21" t="s">
        <v>462</v>
      </c>
      <c r="C5" s="1"/>
      <c r="D5" s="21">
        <f>COUNTIF(projects_table!B:B,B5)</f>
        <v>12</v>
      </c>
    </row>
    <row r="6" ht="14.25" customHeight="1">
      <c r="A6" s="21">
        <v>2021.0</v>
      </c>
      <c r="B6" s="21" t="s">
        <v>527</v>
      </c>
      <c r="C6" s="1"/>
      <c r="D6" s="21">
        <f>COUNTIF(projects_table!B:B,B6)</f>
        <v>10</v>
      </c>
    </row>
    <row r="7" ht="14.25" customHeight="1">
      <c r="C7" s="1"/>
    </row>
    <row r="8" ht="14.25" customHeight="1">
      <c r="C8" s="1"/>
    </row>
    <row r="9" ht="14.25" customHeight="1">
      <c r="C9" s="1"/>
    </row>
    <row r="10" ht="14.25" customHeight="1">
      <c r="C10" s="1"/>
    </row>
    <row r="11" ht="14.25" customHeight="1">
      <c r="C11" s="1"/>
    </row>
    <row r="12" ht="14.25" customHeight="1">
      <c r="C12" s="1"/>
    </row>
    <row r="13" ht="14.25" customHeight="1">
      <c r="C13" s="1"/>
    </row>
    <row r="14" ht="14.25" customHeight="1">
      <c r="C14" s="1"/>
    </row>
    <row r="15" ht="14.25" customHeight="1">
      <c r="C15" s="1"/>
    </row>
    <row r="16" ht="14.25" customHeight="1">
      <c r="C16" s="1"/>
    </row>
    <row r="17" ht="14.25" customHeight="1">
      <c r="C17" s="1"/>
    </row>
    <row r="18" ht="14.25" customHeight="1">
      <c r="C18" s="1"/>
    </row>
    <row r="19" ht="14.25" customHeight="1">
      <c r="C19" s="1"/>
    </row>
    <row r="20" ht="14.25" customHeight="1">
      <c r="C20" s="1"/>
    </row>
    <row r="21" ht="14.25" customHeight="1">
      <c r="C21" s="1"/>
    </row>
    <row r="22" ht="14.25" customHeight="1">
      <c r="C22" s="1"/>
    </row>
    <row r="23" ht="14.25" customHeight="1">
      <c r="C23" s="1"/>
    </row>
    <row r="24" ht="14.25" customHeight="1">
      <c r="C24" s="1"/>
    </row>
    <row r="25" ht="14.25" customHeight="1">
      <c r="C25" s="1"/>
    </row>
    <row r="26" ht="14.25" customHeight="1">
      <c r="C26" s="1"/>
    </row>
    <row r="27" ht="14.25" customHeight="1">
      <c r="C27" s="1"/>
    </row>
    <row r="28" ht="14.25" customHeight="1">
      <c r="C28" s="1"/>
    </row>
    <row r="29" ht="14.25" customHeight="1">
      <c r="C29" s="1"/>
    </row>
    <row r="30" ht="14.25" customHeight="1">
      <c r="C30" s="1"/>
    </row>
    <row r="31" ht="14.25" customHeight="1">
      <c r="C31" s="1"/>
    </row>
    <row r="32" ht="14.25" customHeight="1">
      <c r="C32" s="1"/>
    </row>
    <row r="33" ht="14.25" customHeight="1">
      <c r="C33" s="1"/>
    </row>
    <row r="34" ht="14.25" customHeight="1">
      <c r="C34" s="1"/>
    </row>
    <row r="35" ht="14.25" customHeight="1">
      <c r="C35" s="1"/>
    </row>
    <row r="36" ht="14.25" customHeight="1">
      <c r="C36" s="1"/>
    </row>
    <row r="37" ht="14.25" customHeight="1">
      <c r="C37" s="1"/>
    </row>
    <row r="38" ht="14.25" customHeight="1">
      <c r="C38" s="1"/>
    </row>
    <row r="39" ht="14.25" customHeight="1">
      <c r="C39" s="1"/>
    </row>
    <row r="40" ht="14.25" customHeight="1">
      <c r="C40" s="1"/>
    </row>
    <row r="41" ht="14.25" customHeight="1">
      <c r="C41" s="1"/>
    </row>
    <row r="42" ht="14.25" customHeight="1">
      <c r="C42" s="1"/>
    </row>
    <row r="43" ht="14.25" customHeight="1">
      <c r="C43" s="1"/>
    </row>
    <row r="44" ht="14.25" customHeight="1">
      <c r="C44" s="1"/>
    </row>
    <row r="45" ht="14.25" customHeight="1">
      <c r="C45" s="1"/>
    </row>
    <row r="46" ht="14.25" customHeight="1">
      <c r="C46" s="1"/>
    </row>
    <row r="47" ht="14.25" customHeight="1">
      <c r="C47" s="1"/>
    </row>
    <row r="48" ht="14.25" customHeight="1">
      <c r="C48" s="1"/>
    </row>
    <row r="49" ht="14.25" customHeight="1">
      <c r="C49" s="1"/>
    </row>
    <row r="50" ht="14.25" customHeight="1">
      <c r="C50" s="1"/>
    </row>
    <row r="51" ht="14.25" customHeight="1">
      <c r="C51" s="1"/>
    </row>
    <row r="52" ht="14.25" customHeight="1">
      <c r="C52" s="1"/>
    </row>
    <row r="53" ht="14.25" customHeight="1">
      <c r="C53" s="1"/>
    </row>
    <row r="54" ht="14.25" customHeight="1">
      <c r="C54" s="1"/>
    </row>
    <row r="55" ht="14.25" customHeight="1">
      <c r="C55" s="1"/>
    </row>
    <row r="56" ht="14.25" customHeight="1">
      <c r="C56" s="1"/>
    </row>
    <row r="57" ht="14.25" customHeight="1">
      <c r="C57" s="1"/>
    </row>
    <row r="58" ht="14.25" customHeight="1">
      <c r="C58" s="1"/>
    </row>
    <row r="59" ht="14.25" customHeight="1">
      <c r="C59" s="1"/>
    </row>
    <row r="60" ht="14.25" customHeight="1">
      <c r="C60" s="1"/>
    </row>
    <row r="61" ht="14.25" customHeight="1">
      <c r="C61" s="1"/>
    </row>
    <row r="62" ht="14.25" customHeight="1">
      <c r="C62" s="1"/>
    </row>
    <row r="63" ht="14.25" customHeight="1">
      <c r="C63" s="1"/>
    </row>
    <row r="64" ht="14.25" customHeight="1">
      <c r="C64" s="1"/>
    </row>
    <row r="65" ht="14.25" customHeight="1">
      <c r="C65" s="1"/>
    </row>
    <row r="66" ht="14.25" customHeight="1">
      <c r="C66" s="1"/>
    </row>
    <row r="67" ht="14.25" customHeight="1">
      <c r="C67" s="1"/>
    </row>
    <row r="68" ht="14.25" customHeight="1">
      <c r="C68" s="1"/>
    </row>
    <row r="69" ht="14.25" customHeight="1">
      <c r="C69" s="1"/>
    </row>
    <row r="70" ht="14.25" customHeight="1">
      <c r="C70" s="1"/>
    </row>
    <row r="71" ht="14.25" customHeight="1">
      <c r="C71" s="1"/>
    </row>
    <row r="72" ht="14.25" customHeight="1">
      <c r="C72" s="1"/>
    </row>
    <row r="73" ht="14.25" customHeight="1">
      <c r="C73" s="1"/>
    </row>
    <row r="74" ht="14.25" customHeight="1">
      <c r="C74" s="1"/>
    </row>
    <row r="75" ht="14.25" customHeight="1">
      <c r="C75" s="1"/>
    </row>
    <row r="76" ht="14.25" customHeight="1">
      <c r="C76" s="1"/>
    </row>
    <row r="77" ht="14.25" customHeight="1">
      <c r="C77" s="1"/>
    </row>
    <row r="78" ht="14.25" customHeight="1">
      <c r="C78" s="1"/>
    </row>
    <row r="79" ht="14.25" customHeight="1">
      <c r="C79" s="1"/>
    </row>
    <row r="80" ht="14.25" customHeight="1">
      <c r="C80" s="1"/>
    </row>
    <row r="81" ht="14.25" customHeight="1">
      <c r="C81" s="1"/>
    </row>
    <row r="82" ht="14.25" customHeight="1">
      <c r="C82" s="1"/>
    </row>
    <row r="83" ht="14.25" customHeight="1">
      <c r="C83" s="1"/>
    </row>
    <row r="84" ht="14.25" customHeight="1">
      <c r="C84" s="1"/>
    </row>
    <row r="85" ht="14.25" customHeight="1">
      <c r="C85" s="1"/>
    </row>
    <row r="86" ht="14.25" customHeight="1">
      <c r="C86" s="1"/>
    </row>
    <row r="87" ht="14.25" customHeight="1">
      <c r="C87" s="1"/>
    </row>
    <row r="88" ht="14.25" customHeight="1">
      <c r="C88" s="1"/>
    </row>
    <row r="89" ht="14.25" customHeight="1">
      <c r="C89" s="1"/>
    </row>
    <row r="90" ht="14.25" customHeight="1">
      <c r="C90" s="1"/>
    </row>
    <row r="91" ht="14.25" customHeight="1">
      <c r="C91" s="1"/>
    </row>
    <row r="92" ht="14.25" customHeight="1">
      <c r="C92" s="1"/>
    </row>
    <row r="93" ht="14.25" customHeight="1">
      <c r="C93" s="1"/>
    </row>
    <row r="94" ht="14.25" customHeight="1">
      <c r="C94" s="1"/>
    </row>
    <row r="95" ht="14.25" customHeight="1">
      <c r="C95" s="1"/>
    </row>
    <row r="96" ht="14.25" customHeight="1">
      <c r="C96" s="1"/>
    </row>
    <row r="97" ht="14.25" customHeight="1">
      <c r="C97" s="1"/>
    </row>
    <row r="98" ht="14.25" customHeight="1">
      <c r="C98" s="1"/>
    </row>
    <row r="99" ht="14.25" customHeight="1">
      <c r="C99" s="1"/>
    </row>
    <row r="100" ht="14.25" customHeight="1">
      <c r="C100" s="1"/>
    </row>
    <row r="101" ht="14.25" customHeight="1">
      <c r="C101" s="1"/>
    </row>
    <row r="102" ht="14.25" customHeight="1">
      <c r="C102" s="1"/>
    </row>
    <row r="103" ht="14.25" customHeight="1">
      <c r="C103" s="1"/>
    </row>
    <row r="104" ht="14.25" customHeight="1">
      <c r="C104" s="1"/>
    </row>
    <row r="105" ht="14.25" customHeight="1">
      <c r="C105" s="1"/>
    </row>
    <row r="106" ht="14.25" customHeight="1">
      <c r="C106" s="1"/>
    </row>
    <row r="107" ht="14.25" customHeight="1">
      <c r="C107" s="1"/>
    </row>
    <row r="108" ht="14.25" customHeight="1">
      <c r="C108" s="1"/>
    </row>
    <row r="109" ht="14.25" customHeight="1">
      <c r="C109" s="1"/>
    </row>
    <row r="110" ht="14.25" customHeight="1">
      <c r="C110" s="1"/>
    </row>
    <row r="111" ht="14.25" customHeight="1">
      <c r="C111" s="1"/>
    </row>
    <row r="112" ht="14.25" customHeight="1">
      <c r="C112" s="1"/>
    </row>
    <row r="113" ht="14.25" customHeight="1">
      <c r="C113" s="1"/>
    </row>
    <row r="114" ht="14.25" customHeight="1">
      <c r="C114" s="1"/>
    </row>
    <row r="115" ht="14.25" customHeight="1">
      <c r="C115" s="1"/>
    </row>
    <row r="116" ht="14.25" customHeight="1">
      <c r="C116" s="1"/>
    </row>
    <row r="117" ht="14.25" customHeight="1">
      <c r="C117" s="1"/>
    </row>
    <row r="118" ht="14.25" customHeight="1">
      <c r="C118" s="1"/>
    </row>
    <row r="119" ht="14.25" customHeight="1">
      <c r="C119" s="1"/>
    </row>
    <row r="120" ht="14.25" customHeight="1">
      <c r="C120" s="1"/>
    </row>
    <row r="121" ht="14.25" customHeight="1">
      <c r="C121" s="1"/>
    </row>
    <row r="122" ht="14.25" customHeight="1">
      <c r="C122" s="1"/>
    </row>
    <row r="123" ht="14.25" customHeight="1">
      <c r="C123" s="1"/>
    </row>
    <row r="124" ht="14.25" customHeight="1">
      <c r="C124" s="1"/>
    </row>
    <row r="125" ht="14.25" customHeight="1">
      <c r="C125" s="1"/>
    </row>
    <row r="126" ht="14.25" customHeight="1">
      <c r="C126" s="1"/>
    </row>
    <row r="127" ht="14.25" customHeight="1">
      <c r="C127" s="1"/>
    </row>
    <row r="128" ht="14.25" customHeight="1">
      <c r="C128" s="1"/>
    </row>
    <row r="129" ht="14.25" customHeight="1">
      <c r="C129" s="1"/>
    </row>
    <row r="130" ht="14.25" customHeight="1">
      <c r="C130" s="1"/>
    </row>
    <row r="131" ht="14.25" customHeight="1">
      <c r="C131" s="1"/>
    </row>
    <row r="132" ht="14.25" customHeight="1">
      <c r="C132" s="1"/>
    </row>
    <row r="133" ht="14.25" customHeight="1">
      <c r="C133" s="1"/>
    </row>
    <row r="134" ht="14.25" customHeight="1">
      <c r="C134" s="1"/>
    </row>
    <row r="135" ht="14.25" customHeight="1">
      <c r="C135" s="1"/>
    </row>
    <row r="136" ht="14.25" customHeight="1">
      <c r="C136" s="1"/>
    </row>
    <row r="137" ht="14.25" customHeight="1">
      <c r="C137" s="1"/>
    </row>
    <row r="138" ht="14.25" customHeight="1">
      <c r="C138" s="1"/>
    </row>
    <row r="139" ht="14.25" customHeight="1">
      <c r="C139" s="1"/>
    </row>
    <row r="140" ht="14.25" customHeight="1">
      <c r="C140" s="1"/>
    </row>
    <row r="141" ht="14.25" customHeight="1">
      <c r="C141" s="1"/>
    </row>
    <row r="142" ht="14.25" customHeight="1">
      <c r="C142" s="1"/>
    </row>
    <row r="143" ht="14.25" customHeight="1">
      <c r="C143" s="1"/>
    </row>
    <row r="144" ht="14.25" customHeight="1">
      <c r="C144" s="1"/>
    </row>
    <row r="145" ht="14.25" customHeight="1">
      <c r="C145" s="1"/>
    </row>
    <row r="146" ht="14.25" customHeight="1">
      <c r="C146" s="1"/>
    </row>
    <row r="147" ht="14.25" customHeight="1">
      <c r="C147" s="1"/>
    </row>
    <row r="148" ht="14.25" customHeight="1">
      <c r="C148" s="1"/>
    </row>
    <row r="149" ht="14.25" customHeight="1">
      <c r="C149" s="1"/>
    </row>
    <row r="150" ht="14.25" customHeight="1">
      <c r="C150" s="1"/>
    </row>
    <row r="151" ht="14.25" customHeight="1">
      <c r="C151" s="1"/>
    </row>
    <row r="152" ht="14.25" customHeight="1">
      <c r="C152" s="1"/>
    </row>
    <row r="153" ht="14.25" customHeight="1">
      <c r="C153" s="1"/>
    </row>
    <row r="154" ht="14.25" customHeight="1">
      <c r="C154" s="1"/>
    </row>
    <row r="155" ht="14.25" customHeight="1">
      <c r="C155" s="1"/>
    </row>
    <row r="156" ht="14.25" customHeight="1">
      <c r="C156" s="1"/>
    </row>
    <row r="157" ht="14.25" customHeight="1">
      <c r="C157" s="1"/>
    </row>
    <row r="158" ht="14.25" customHeight="1">
      <c r="C158" s="1"/>
    </row>
    <row r="159" ht="14.25" customHeight="1">
      <c r="C159" s="1"/>
    </row>
    <row r="160" ht="14.25" customHeight="1">
      <c r="C160" s="1"/>
    </row>
    <row r="161" ht="14.25" customHeight="1">
      <c r="C161" s="1"/>
    </row>
    <row r="162" ht="14.25" customHeight="1">
      <c r="C162" s="1"/>
    </row>
    <row r="163" ht="14.25" customHeight="1">
      <c r="C163" s="1"/>
    </row>
    <row r="164" ht="14.25" customHeight="1">
      <c r="C164" s="1"/>
    </row>
    <row r="165" ht="14.25" customHeight="1">
      <c r="C165" s="1"/>
    </row>
    <row r="166" ht="14.25" customHeight="1">
      <c r="C166" s="1"/>
    </row>
    <row r="167" ht="14.25" customHeight="1">
      <c r="C167" s="1"/>
    </row>
    <row r="168" ht="14.25" customHeight="1">
      <c r="C168" s="1"/>
    </row>
    <row r="169" ht="14.25" customHeight="1">
      <c r="C169" s="1"/>
    </row>
    <row r="170" ht="14.25" customHeight="1">
      <c r="C170" s="1"/>
    </row>
    <row r="171" ht="14.25" customHeight="1">
      <c r="C171" s="1"/>
    </row>
    <row r="172" ht="14.25" customHeight="1">
      <c r="C172" s="1"/>
    </row>
    <row r="173" ht="14.25" customHeight="1">
      <c r="C173" s="1"/>
    </row>
    <row r="174" ht="14.25" customHeight="1">
      <c r="C174" s="1"/>
    </row>
    <row r="175" ht="14.25" customHeight="1">
      <c r="C175" s="1"/>
    </row>
    <row r="176" ht="14.25" customHeight="1">
      <c r="C176" s="1"/>
    </row>
    <row r="177" ht="14.25" customHeight="1">
      <c r="C177" s="1"/>
    </row>
    <row r="178" ht="14.25" customHeight="1">
      <c r="C178" s="1"/>
    </row>
    <row r="179" ht="14.25" customHeight="1">
      <c r="C179" s="1"/>
    </row>
    <row r="180" ht="14.25" customHeight="1">
      <c r="C180" s="1"/>
    </row>
    <row r="181" ht="14.25" customHeight="1">
      <c r="C181" s="1"/>
    </row>
    <row r="182" ht="14.25" customHeight="1">
      <c r="C182" s="1"/>
    </row>
    <row r="183" ht="14.25" customHeight="1">
      <c r="C183" s="1"/>
    </row>
    <row r="184" ht="14.25" customHeight="1">
      <c r="C184" s="1"/>
    </row>
    <row r="185" ht="14.25" customHeight="1">
      <c r="C185" s="1"/>
    </row>
    <row r="186" ht="14.25" customHeight="1">
      <c r="C186" s="1"/>
    </row>
    <row r="187" ht="14.25" customHeight="1">
      <c r="C187" s="1"/>
    </row>
    <row r="188" ht="14.25" customHeight="1">
      <c r="C188" s="1"/>
    </row>
    <row r="189" ht="14.25" customHeight="1">
      <c r="C189" s="1"/>
    </row>
    <row r="190" ht="14.25" customHeight="1">
      <c r="C190" s="1"/>
    </row>
    <row r="191" ht="14.25" customHeight="1">
      <c r="C191" s="1"/>
    </row>
    <row r="192" ht="14.25" customHeight="1">
      <c r="C192" s="1"/>
    </row>
    <row r="193" ht="14.25" customHeight="1">
      <c r="C193" s="1"/>
    </row>
    <row r="194" ht="14.25" customHeight="1">
      <c r="C194" s="1"/>
    </row>
    <row r="195" ht="14.25" customHeight="1">
      <c r="C195" s="1"/>
    </row>
    <row r="196" ht="14.25" customHeight="1">
      <c r="C196" s="1"/>
    </row>
    <row r="197" ht="14.25" customHeight="1">
      <c r="C197" s="1"/>
    </row>
    <row r="198" ht="14.25" customHeight="1">
      <c r="C198" s="1"/>
    </row>
    <row r="199" ht="14.25" customHeight="1">
      <c r="C199" s="1"/>
    </row>
    <row r="200" ht="14.25" customHeight="1">
      <c r="C200" s="1"/>
    </row>
    <row r="201" ht="14.25" customHeight="1">
      <c r="C201" s="1"/>
    </row>
    <row r="202" ht="14.25" customHeight="1">
      <c r="C202" s="1"/>
    </row>
    <row r="203" ht="14.25" customHeight="1">
      <c r="C203" s="1"/>
    </row>
    <row r="204" ht="14.25" customHeight="1">
      <c r="C204" s="1"/>
    </row>
    <row r="205" ht="14.25" customHeight="1">
      <c r="C205" s="1"/>
    </row>
    <row r="206" ht="14.25" customHeight="1">
      <c r="C206" s="1"/>
    </row>
    <row r="207" ht="14.25" customHeight="1">
      <c r="C207" s="1"/>
    </row>
    <row r="208" ht="14.25" customHeight="1">
      <c r="C208" s="1"/>
    </row>
    <row r="209" ht="14.25" customHeight="1">
      <c r="C209" s="1"/>
    </row>
    <row r="210" ht="14.25" customHeight="1">
      <c r="C210" s="1"/>
    </row>
    <row r="211" ht="14.25" customHeight="1">
      <c r="C211" s="1"/>
    </row>
    <row r="212" ht="14.25" customHeight="1">
      <c r="C212" s="1"/>
    </row>
    <row r="213" ht="14.25" customHeight="1">
      <c r="C213" s="1"/>
    </row>
    <row r="214" ht="14.25" customHeight="1">
      <c r="C214" s="1"/>
    </row>
    <row r="215" ht="14.25" customHeight="1">
      <c r="C215" s="1"/>
    </row>
    <row r="216" ht="14.25" customHeight="1">
      <c r="C216" s="1"/>
    </row>
    <row r="217" ht="14.25" customHeight="1">
      <c r="C217" s="1"/>
    </row>
    <row r="218" ht="14.25" customHeight="1">
      <c r="C218" s="1"/>
    </row>
    <row r="219" ht="14.25" customHeight="1">
      <c r="C219" s="1"/>
    </row>
    <row r="220" ht="14.25" customHeight="1">
      <c r="C220" s="1"/>
    </row>
    <row r="221" ht="14.25" customHeight="1">
      <c r="C221" s="1"/>
    </row>
    <row r="222" ht="14.25" customHeight="1">
      <c r="C222" s="1"/>
    </row>
    <row r="223" ht="14.25" customHeight="1">
      <c r="C223" s="1"/>
    </row>
    <row r="224" ht="14.25" customHeight="1">
      <c r="C224" s="1"/>
    </row>
    <row r="225" ht="14.25" customHeight="1">
      <c r="C225" s="1"/>
    </row>
    <row r="226" ht="14.25" customHeight="1">
      <c r="C226" s="1"/>
    </row>
    <row r="227" ht="14.25" customHeight="1">
      <c r="C227" s="1"/>
    </row>
    <row r="228" ht="14.25" customHeight="1">
      <c r="C228" s="1"/>
    </row>
    <row r="229" ht="14.25" customHeight="1">
      <c r="C229" s="1"/>
    </row>
    <row r="230" ht="14.25" customHeight="1">
      <c r="C230" s="1"/>
    </row>
    <row r="231" ht="14.25" customHeight="1">
      <c r="C231" s="1"/>
    </row>
    <row r="232" ht="14.25" customHeight="1">
      <c r="C232" s="1"/>
    </row>
    <row r="233" ht="14.25" customHeight="1">
      <c r="C233" s="1"/>
    </row>
    <row r="234" ht="14.25" customHeight="1">
      <c r="C234" s="1"/>
    </row>
    <row r="235" ht="14.25" customHeight="1">
      <c r="C235" s="1"/>
    </row>
    <row r="236" ht="14.25" customHeight="1">
      <c r="C236" s="1"/>
    </row>
    <row r="237" ht="14.25" customHeight="1">
      <c r="C237" s="1"/>
    </row>
    <row r="238" ht="14.25" customHeight="1">
      <c r="C238" s="1"/>
    </row>
    <row r="239" ht="14.25" customHeight="1">
      <c r="C239" s="1"/>
    </row>
    <row r="240" ht="14.25" customHeight="1">
      <c r="C240" s="1"/>
    </row>
    <row r="241" ht="14.25" customHeight="1">
      <c r="C241" s="1"/>
    </row>
    <row r="242" ht="14.25" customHeight="1">
      <c r="C242" s="1"/>
    </row>
    <row r="243" ht="14.25" customHeight="1">
      <c r="C243" s="1"/>
    </row>
    <row r="244" ht="14.25" customHeight="1">
      <c r="C244" s="1"/>
    </row>
    <row r="245" ht="14.25" customHeight="1">
      <c r="C245" s="1"/>
    </row>
    <row r="246" ht="14.25" customHeight="1">
      <c r="C246" s="1"/>
    </row>
    <row r="247" ht="14.25" customHeight="1">
      <c r="C247" s="1"/>
    </row>
    <row r="248" ht="14.25" customHeight="1">
      <c r="C248" s="1"/>
    </row>
    <row r="249" ht="14.25" customHeight="1">
      <c r="C249" s="1"/>
    </row>
    <row r="250" ht="14.25" customHeight="1">
      <c r="C250" s="1"/>
    </row>
    <row r="251" ht="14.25" customHeight="1">
      <c r="C251" s="1"/>
    </row>
    <row r="252" ht="14.25" customHeight="1">
      <c r="C252" s="1"/>
    </row>
    <row r="253" ht="14.25" customHeight="1">
      <c r="C253" s="1"/>
    </row>
    <row r="254" ht="14.25" customHeight="1">
      <c r="C254" s="1"/>
    </row>
    <row r="255" ht="14.25" customHeight="1">
      <c r="C255" s="1"/>
    </row>
    <row r="256" ht="14.25" customHeight="1">
      <c r="C256" s="1"/>
    </row>
    <row r="257" ht="14.25" customHeight="1">
      <c r="C257" s="1"/>
    </row>
    <row r="258" ht="14.25" customHeight="1">
      <c r="C258" s="1"/>
    </row>
    <row r="259" ht="14.25" customHeight="1">
      <c r="C259" s="1"/>
    </row>
    <row r="260" ht="14.25" customHeight="1">
      <c r="C260" s="1"/>
    </row>
    <row r="261" ht="14.25" customHeight="1">
      <c r="C261" s="1"/>
    </row>
    <row r="262" ht="14.25" customHeight="1">
      <c r="C262" s="1"/>
    </row>
    <row r="263" ht="14.25" customHeight="1">
      <c r="C263" s="1"/>
    </row>
    <row r="264" ht="14.25" customHeight="1">
      <c r="C264" s="1"/>
    </row>
    <row r="265" ht="14.25" customHeight="1">
      <c r="C265" s="1"/>
    </row>
    <row r="266" ht="14.25" customHeight="1">
      <c r="C266" s="1"/>
    </row>
    <row r="267" ht="14.25" customHeight="1">
      <c r="C267" s="1"/>
    </row>
    <row r="268" ht="14.25" customHeight="1">
      <c r="C268" s="1"/>
    </row>
    <row r="269" ht="14.25" customHeight="1">
      <c r="C269" s="1"/>
    </row>
    <row r="270" ht="14.25" customHeight="1">
      <c r="C270" s="1"/>
    </row>
    <row r="271" ht="14.25" customHeight="1">
      <c r="C271" s="1"/>
    </row>
    <row r="272" ht="14.25" customHeight="1">
      <c r="C272" s="1"/>
    </row>
    <row r="273" ht="14.25" customHeight="1">
      <c r="C273" s="1"/>
    </row>
    <row r="274" ht="14.25" customHeight="1">
      <c r="C274" s="1"/>
    </row>
    <row r="275" ht="14.25" customHeight="1">
      <c r="C275" s="1"/>
    </row>
    <row r="276" ht="14.25" customHeight="1">
      <c r="C276" s="1"/>
    </row>
    <row r="277" ht="14.25" customHeight="1">
      <c r="C277" s="1"/>
    </row>
    <row r="278" ht="14.25" customHeight="1">
      <c r="C278" s="1"/>
    </row>
    <row r="279" ht="14.25" customHeight="1">
      <c r="C279" s="1"/>
    </row>
    <row r="280" ht="14.25" customHeight="1">
      <c r="C280" s="1"/>
    </row>
    <row r="281" ht="14.25" customHeight="1">
      <c r="C281" s="1"/>
    </row>
    <row r="282" ht="14.25" customHeight="1">
      <c r="C282" s="1"/>
    </row>
    <row r="283" ht="14.25" customHeight="1">
      <c r="C283" s="1"/>
    </row>
    <row r="284" ht="14.25" customHeight="1">
      <c r="C284" s="1"/>
    </row>
    <row r="285" ht="14.25" customHeight="1">
      <c r="C285" s="1"/>
    </row>
    <row r="286" ht="14.25" customHeight="1">
      <c r="C286" s="1"/>
    </row>
    <row r="287" ht="14.25" customHeight="1">
      <c r="C287" s="1"/>
    </row>
    <row r="288" ht="14.25" customHeight="1">
      <c r="C288" s="1"/>
    </row>
    <row r="289" ht="14.25" customHeight="1">
      <c r="C289" s="1"/>
    </row>
    <row r="290" ht="14.25" customHeight="1">
      <c r="C290" s="1"/>
    </row>
    <row r="291" ht="14.25" customHeight="1">
      <c r="C291" s="1"/>
    </row>
    <row r="292" ht="14.25" customHeight="1">
      <c r="C292" s="1"/>
    </row>
    <row r="293" ht="14.25" customHeight="1">
      <c r="C293" s="1"/>
    </row>
    <row r="294" ht="14.25" customHeight="1">
      <c r="C294" s="1"/>
    </row>
    <row r="295" ht="14.25" customHeight="1">
      <c r="C295" s="1"/>
    </row>
    <row r="296" ht="14.25" customHeight="1">
      <c r="C296" s="1"/>
    </row>
    <row r="297" ht="14.25" customHeight="1">
      <c r="C297" s="1"/>
    </row>
    <row r="298" ht="14.25" customHeight="1">
      <c r="C298" s="1"/>
    </row>
    <row r="299" ht="14.25" customHeight="1">
      <c r="C299" s="1"/>
    </row>
    <row r="300" ht="14.25" customHeight="1">
      <c r="C300" s="1"/>
    </row>
    <row r="301" ht="14.25" customHeight="1">
      <c r="C301" s="1"/>
    </row>
    <row r="302" ht="14.25" customHeight="1">
      <c r="C302" s="1"/>
    </row>
    <row r="303" ht="14.25" customHeight="1">
      <c r="C303" s="1"/>
    </row>
    <row r="304" ht="14.25" customHeight="1">
      <c r="C304" s="1"/>
    </row>
    <row r="305" ht="14.25" customHeight="1">
      <c r="C305" s="1"/>
    </row>
    <row r="306" ht="14.25" customHeight="1">
      <c r="C306" s="1"/>
    </row>
    <row r="307" ht="14.25" customHeight="1">
      <c r="C307" s="1"/>
    </row>
    <row r="308" ht="14.25" customHeight="1">
      <c r="C308" s="1"/>
    </row>
    <row r="309" ht="14.25" customHeight="1">
      <c r="C309" s="1"/>
    </row>
    <row r="310" ht="14.25" customHeight="1">
      <c r="C310" s="1"/>
    </row>
    <row r="311" ht="14.25" customHeight="1">
      <c r="C311" s="1"/>
    </row>
    <row r="312" ht="14.25" customHeight="1">
      <c r="C312" s="1"/>
    </row>
    <row r="313" ht="14.25" customHeight="1">
      <c r="C313" s="1"/>
    </row>
    <row r="314" ht="14.25" customHeight="1">
      <c r="C314" s="1"/>
    </row>
    <row r="315" ht="14.25" customHeight="1">
      <c r="C315" s="1"/>
    </row>
    <row r="316" ht="14.25" customHeight="1">
      <c r="C316" s="1"/>
    </row>
    <row r="317" ht="14.25" customHeight="1">
      <c r="C317" s="1"/>
    </row>
    <row r="318" ht="14.25" customHeight="1">
      <c r="C318" s="1"/>
    </row>
    <row r="319" ht="14.25" customHeight="1">
      <c r="C319" s="1"/>
    </row>
    <row r="320" ht="14.25" customHeight="1">
      <c r="C320" s="1"/>
    </row>
    <row r="321" ht="14.25" customHeight="1">
      <c r="C321" s="1"/>
    </row>
    <row r="322" ht="14.25" customHeight="1">
      <c r="C322" s="1"/>
    </row>
    <row r="323" ht="14.25" customHeight="1">
      <c r="C323" s="1"/>
    </row>
    <row r="324" ht="14.25" customHeight="1">
      <c r="C324" s="1"/>
    </row>
    <row r="325" ht="14.25" customHeight="1">
      <c r="C325" s="1"/>
    </row>
    <row r="326" ht="14.25" customHeight="1">
      <c r="C326" s="1"/>
    </row>
    <row r="327" ht="14.25" customHeight="1">
      <c r="C327" s="1"/>
    </row>
    <row r="328" ht="14.25" customHeight="1">
      <c r="C328" s="1"/>
    </row>
    <row r="329" ht="14.25" customHeight="1">
      <c r="C329" s="1"/>
    </row>
    <row r="330" ht="14.25" customHeight="1">
      <c r="C330" s="1"/>
    </row>
    <row r="331" ht="14.25" customHeight="1">
      <c r="C331" s="1"/>
    </row>
    <row r="332" ht="14.25" customHeight="1">
      <c r="C332" s="1"/>
    </row>
    <row r="333" ht="14.25" customHeight="1">
      <c r="C333" s="1"/>
    </row>
    <row r="334" ht="14.25" customHeight="1">
      <c r="C334" s="1"/>
    </row>
    <row r="335" ht="14.25" customHeight="1">
      <c r="C335" s="1"/>
    </row>
    <row r="336" ht="14.25" customHeight="1">
      <c r="C336" s="1"/>
    </row>
    <row r="337" ht="14.25" customHeight="1">
      <c r="C337" s="1"/>
    </row>
    <row r="338" ht="14.25" customHeight="1">
      <c r="C338" s="1"/>
    </row>
    <row r="339" ht="14.25" customHeight="1">
      <c r="C339" s="1"/>
    </row>
    <row r="340" ht="14.25" customHeight="1">
      <c r="C340" s="1"/>
    </row>
    <row r="341" ht="14.25" customHeight="1">
      <c r="C341" s="1"/>
    </row>
    <row r="342" ht="14.25" customHeight="1">
      <c r="C342" s="1"/>
    </row>
    <row r="343" ht="14.25" customHeight="1">
      <c r="C343" s="1"/>
    </row>
    <row r="344" ht="14.25" customHeight="1">
      <c r="C344" s="1"/>
    </row>
    <row r="345" ht="14.25" customHeight="1">
      <c r="C345" s="1"/>
    </row>
    <row r="346" ht="14.25" customHeight="1">
      <c r="C346" s="1"/>
    </row>
    <row r="347" ht="14.25" customHeight="1">
      <c r="C347" s="1"/>
    </row>
    <row r="348" ht="14.25" customHeight="1">
      <c r="C348" s="1"/>
    </row>
    <row r="349" ht="14.25" customHeight="1">
      <c r="C349" s="1"/>
    </row>
    <row r="350" ht="14.25" customHeight="1">
      <c r="C350" s="1"/>
    </row>
    <row r="351" ht="14.25" customHeight="1">
      <c r="C351" s="1"/>
    </row>
    <row r="352" ht="14.25" customHeight="1">
      <c r="C352" s="1"/>
    </row>
    <row r="353" ht="14.25" customHeight="1">
      <c r="C353" s="1"/>
    </row>
    <row r="354" ht="14.25" customHeight="1">
      <c r="C354" s="1"/>
    </row>
    <row r="355" ht="14.25" customHeight="1">
      <c r="C355" s="1"/>
    </row>
    <row r="356" ht="14.25" customHeight="1">
      <c r="C356" s="1"/>
    </row>
    <row r="357" ht="14.25" customHeight="1">
      <c r="C357" s="1"/>
    </row>
    <row r="358" ht="14.25" customHeight="1">
      <c r="C358" s="1"/>
    </row>
    <row r="359" ht="14.25" customHeight="1">
      <c r="C359" s="1"/>
    </row>
    <row r="360" ht="14.25" customHeight="1">
      <c r="C360" s="1"/>
    </row>
    <row r="361" ht="14.25" customHeight="1">
      <c r="C361" s="1"/>
    </row>
    <row r="362" ht="14.25" customHeight="1">
      <c r="C362" s="1"/>
    </row>
    <row r="363" ht="14.25" customHeight="1">
      <c r="C363" s="1"/>
    </row>
    <row r="364" ht="14.25" customHeight="1">
      <c r="C364" s="1"/>
    </row>
    <row r="365" ht="14.25" customHeight="1">
      <c r="C365" s="1"/>
    </row>
    <row r="366" ht="14.25" customHeight="1">
      <c r="C366" s="1"/>
    </row>
    <row r="367" ht="14.25" customHeight="1">
      <c r="C367" s="1"/>
    </row>
    <row r="368" ht="14.25" customHeight="1">
      <c r="C368" s="1"/>
    </row>
    <row r="369" ht="14.25" customHeight="1">
      <c r="C369" s="1"/>
    </row>
    <row r="370" ht="14.25" customHeight="1">
      <c r="C370" s="1"/>
    </row>
    <row r="371" ht="14.25" customHeight="1">
      <c r="C371" s="1"/>
    </row>
    <row r="372" ht="14.25" customHeight="1">
      <c r="C372" s="1"/>
    </row>
    <row r="373" ht="14.25" customHeight="1">
      <c r="C373" s="1"/>
    </row>
    <row r="374" ht="14.25" customHeight="1">
      <c r="C374" s="1"/>
    </row>
    <row r="375" ht="14.25" customHeight="1">
      <c r="C375" s="1"/>
    </row>
    <row r="376" ht="14.25" customHeight="1">
      <c r="C376" s="1"/>
    </row>
    <row r="377" ht="14.25" customHeight="1">
      <c r="C377" s="1"/>
    </row>
    <row r="378" ht="14.25" customHeight="1">
      <c r="C378" s="1"/>
    </row>
    <row r="379" ht="14.25" customHeight="1">
      <c r="C379" s="1"/>
    </row>
    <row r="380" ht="14.25" customHeight="1">
      <c r="C380" s="1"/>
    </row>
    <row r="381" ht="14.25" customHeight="1">
      <c r="C381" s="1"/>
    </row>
    <row r="382" ht="14.25" customHeight="1">
      <c r="C382" s="1"/>
    </row>
    <row r="383" ht="14.25" customHeight="1">
      <c r="C383" s="1"/>
    </row>
    <row r="384" ht="14.25" customHeight="1">
      <c r="C384" s="1"/>
    </row>
    <row r="385" ht="14.25" customHeight="1">
      <c r="C385" s="1"/>
    </row>
    <row r="386" ht="14.25" customHeight="1">
      <c r="C386" s="1"/>
    </row>
    <row r="387" ht="14.25" customHeight="1">
      <c r="C387" s="1"/>
    </row>
    <row r="388" ht="14.25" customHeight="1">
      <c r="C388" s="1"/>
    </row>
    <row r="389" ht="14.25" customHeight="1">
      <c r="C389" s="1"/>
    </row>
    <row r="390" ht="14.25" customHeight="1">
      <c r="C390" s="1"/>
    </row>
    <row r="391" ht="14.25" customHeight="1">
      <c r="C391" s="1"/>
    </row>
    <row r="392" ht="14.25" customHeight="1">
      <c r="C392" s="1"/>
    </row>
    <row r="393" ht="14.25" customHeight="1">
      <c r="C393" s="1"/>
    </row>
    <row r="394" ht="14.25" customHeight="1">
      <c r="C394" s="1"/>
    </row>
    <row r="395" ht="14.25" customHeight="1">
      <c r="C395" s="1"/>
    </row>
    <row r="396" ht="14.25" customHeight="1">
      <c r="C396" s="1"/>
    </row>
    <row r="397" ht="14.25" customHeight="1">
      <c r="C397" s="1"/>
    </row>
    <row r="398" ht="14.25" customHeight="1">
      <c r="C398" s="1"/>
    </row>
    <row r="399" ht="14.25" customHeight="1">
      <c r="C399" s="1"/>
    </row>
    <row r="400" ht="14.25" customHeight="1">
      <c r="C400" s="1"/>
    </row>
    <row r="401" ht="14.25" customHeight="1">
      <c r="C401" s="1"/>
    </row>
    <row r="402" ht="14.25" customHeight="1">
      <c r="C402" s="1"/>
    </row>
    <row r="403" ht="14.25" customHeight="1">
      <c r="C403" s="1"/>
    </row>
    <row r="404" ht="14.25" customHeight="1">
      <c r="C404" s="1"/>
    </row>
    <row r="405" ht="14.25" customHeight="1">
      <c r="C405" s="1"/>
    </row>
    <row r="406" ht="14.25" customHeight="1">
      <c r="C406" s="1"/>
    </row>
    <row r="407" ht="14.25" customHeight="1">
      <c r="C407" s="1"/>
    </row>
    <row r="408" ht="14.25" customHeight="1">
      <c r="C408" s="1"/>
    </row>
    <row r="409" ht="14.25" customHeight="1">
      <c r="C409" s="1"/>
    </row>
    <row r="410" ht="14.25" customHeight="1">
      <c r="C410" s="1"/>
    </row>
    <row r="411" ht="14.25" customHeight="1">
      <c r="C411" s="1"/>
    </row>
    <row r="412" ht="14.25" customHeight="1">
      <c r="C412" s="1"/>
    </row>
    <row r="413" ht="14.25" customHeight="1">
      <c r="C413" s="1"/>
    </row>
    <row r="414" ht="14.25" customHeight="1">
      <c r="C414" s="1"/>
    </row>
    <row r="415" ht="14.25" customHeight="1">
      <c r="C415" s="1"/>
    </row>
    <row r="416" ht="14.25" customHeight="1">
      <c r="C416" s="1"/>
    </row>
    <row r="417" ht="14.25" customHeight="1">
      <c r="C417" s="1"/>
    </row>
    <row r="418" ht="14.25" customHeight="1">
      <c r="C418" s="1"/>
    </row>
    <row r="419" ht="14.25" customHeight="1">
      <c r="C419" s="1"/>
    </row>
    <row r="420" ht="14.25" customHeight="1">
      <c r="C420" s="1"/>
    </row>
    <row r="421" ht="14.25" customHeight="1">
      <c r="C421" s="1"/>
    </row>
    <row r="422" ht="14.25" customHeight="1">
      <c r="C422" s="1"/>
    </row>
    <row r="423" ht="14.25" customHeight="1">
      <c r="C423" s="1"/>
    </row>
    <row r="424" ht="14.25" customHeight="1">
      <c r="C424" s="1"/>
    </row>
    <row r="425" ht="14.25" customHeight="1">
      <c r="C425" s="1"/>
    </row>
    <row r="426" ht="14.25" customHeight="1">
      <c r="C426" s="1"/>
    </row>
    <row r="427" ht="14.25" customHeight="1">
      <c r="C427" s="1"/>
    </row>
    <row r="428" ht="14.25" customHeight="1">
      <c r="C428" s="1"/>
    </row>
    <row r="429" ht="14.25" customHeight="1">
      <c r="C429" s="1"/>
    </row>
    <row r="430" ht="14.25" customHeight="1">
      <c r="C430" s="1"/>
    </row>
    <row r="431" ht="14.25" customHeight="1">
      <c r="C431" s="1"/>
    </row>
    <row r="432" ht="14.25" customHeight="1">
      <c r="C432" s="1"/>
    </row>
    <row r="433" ht="14.25" customHeight="1">
      <c r="C433" s="1"/>
    </row>
    <row r="434" ht="14.25" customHeight="1">
      <c r="C434" s="1"/>
    </row>
    <row r="435" ht="14.25" customHeight="1">
      <c r="C435" s="1"/>
    </row>
    <row r="436" ht="14.25" customHeight="1">
      <c r="C436" s="1"/>
    </row>
    <row r="437" ht="14.25" customHeight="1">
      <c r="C437" s="1"/>
    </row>
    <row r="438" ht="14.25" customHeight="1">
      <c r="C438" s="1"/>
    </row>
    <row r="439" ht="14.25" customHeight="1">
      <c r="C439" s="1"/>
    </row>
    <row r="440" ht="14.25" customHeight="1">
      <c r="C440" s="1"/>
    </row>
    <row r="441" ht="14.25" customHeight="1">
      <c r="C441" s="1"/>
    </row>
    <row r="442" ht="14.25" customHeight="1">
      <c r="C442" s="1"/>
    </row>
    <row r="443" ht="14.25" customHeight="1">
      <c r="C443" s="1"/>
    </row>
    <row r="444" ht="14.25" customHeight="1">
      <c r="C444" s="1"/>
    </row>
    <row r="445" ht="14.25" customHeight="1">
      <c r="C445" s="1"/>
    </row>
    <row r="446" ht="14.25" customHeight="1">
      <c r="C446" s="1"/>
    </row>
    <row r="447" ht="14.25" customHeight="1">
      <c r="C447" s="1"/>
    </row>
    <row r="448" ht="14.25" customHeight="1">
      <c r="C448" s="1"/>
    </row>
    <row r="449" ht="14.25" customHeight="1">
      <c r="C449" s="1"/>
    </row>
    <row r="450" ht="14.25" customHeight="1">
      <c r="C450" s="1"/>
    </row>
    <row r="451" ht="14.25" customHeight="1">
      <c r="C451" s="1"/>
    </row>
    <row r="452" ht="14.25" customHeight="1">
      <c r="C452" s="1"/>
    </row>
    <row r="453" ht="14.25" customHeight="1">
      <c r="C453" s="1"/>
    </row>
    <row r="454" ht="14.25" customHeight="1">
      <c r="C454" s="1"/>
    </row>
    <row r="455" ht="14.25" customHeight="1">
      <c r="C455" s="1"/>
    </row>
    <row r="456" ht="14.25" customHeight="1">
      <c r="C456" s="1"/>
    </row>
    <row r="457" ht="14.25" customHeight="1">
      <c r="C457" s="1"/>
    </row>
    <row r="458" ht="14.25" customHeight="1">
      <c r="C458" s="1"/>
    </row>
    <row r="459" ht="14.25" customHeight="1">
      <c r="C459" s="1"/>
    </row>
    <row r="460" ht="14.25" customHeight="1">
      <c r="C460" s="1"/>
    </row>
    <row r="461" ht="14.25" customHeight="1">
      <c r="C461" s="1"/>
    </row>
    <row r="462" ht="14.25" customHeight="1">
      <c r="C462" s="1"/>
    </row>
    <row r="463" ht="14.25" customHeight="1">
      <c r="C463" s="1"/>
    </row>
    <row r="464" ht="14.25" customHeight="1">
      <c r="C464" s="1"/>
    </row>
    <row r="465" ht="14.25" customHeight="1">
      <c r="C465" s="1"/>
    </row>
    <row r="466" ht="14.25" customHeight="1">
      <c r="C466" s="1"/>
    </row>
    <row r="467" ht="14.25" customHeight="1">
      <c r="C467" s="1"/>
    </row>
    <row r="468" ht="14.25" customHeight="1">
      <c r="C468" s="1"/>
    </row>
    <row r="469" ht="14.25" customHeight="1">
      <c r="C469" s="1"/>
    </row>
    <row r="470" ht="14.25" customHeight="1">
      <c r="C470" s="1"/>
    </row>
    <row r="471" ht="14.25" customHeight="1">
      <c r="C471" s="1"/>
    </row>
    <row r="472" ht="14.25" customHeight="1">
      <c r="C472" s="1"/>
    </row>
    <row r="473" ht="14.25" customHeight="1">
      <c r="C473" s="1"/>
    </row>
    <row r="474" ht="14.25" customHeight="1">
      <c r="C474" s="1"/>
    </row>
    <row r="475" ht="14.25" customHeight="1">
      <c r="C475" s="1"/>
    </row>
    <row r="476" ht="14.25" customHeight="1">
      <c r="C476" s="1"/>
    </row>
    <row r="477" ht="14.25" customHeight="1">
      <c r="C477" s="1"/>
    </row>
    <row r="478" ht="14.25" customHeight="1">
      <c r="C478" s="1"/>
    </row>
    <row r="479" ht="14.25" customHeight="1">
      <c r="C479" s="1"/>
    </row>
    <row r="480" ht="14.25" customHeight="1">
      <c r="C480" s="1"/>
    </row>
    <row r="481" ht="14.25" customHeight="1">
      <c r="C481" s="1"/>
    </row>
    <row r="482" ht="14.25" customHeight="1">
      <c r="C482" s="1"/>
    </row>
    <row r="483" ht="14.25" customHeight="1">
      <c r="C483" s="1"/>
    </row>
    <row r="484" ht="14.25" customHeight="1">
      <c r="C484" s="1"/>
    </row>
    <row r="485" ht="14.25" customHeight="1">
      <c r="C485" s="1"/>
    </row>
    <row r="486" ht="14.25" customHeight="1">
      <c r="C486" s="1"/>
    </row>
    <row r="487" ht="14.25" customHeight="1">
      <c r="C487" s="1"/>
    </row>
    <row r="488" ht="14.25" customHeight="1">
      <c r="C488" s="1"/>
    </row>
    <row r="489" ht="14.25" customHeight="1">
      <c r="C489" s="1"/>
    </row>
    <row r="490" ht="14.25" customHeight="1">
      <c r="C490" s="1"/>
    </row>
    <row r="491" ht="14.25" customHeight="1">
      <c r="C491" s="1"/>
    </row>
    <row r="492" ht="14.25" customHeight="1">
      <c r="C492" s="1"/>
    </row>
    <row r="493" ht="14.25" customHeight="1">
      <c r="C493" s="1"/>
    </row>
    <row r="494" ht="14.25" customHeight="1">
      <c r="C494" s="1"/>
    </row>
    <row r="495" ht="14.25" customHeight="1">
      <c r="C495" s="1"/>
    </row>
    <row r="496" ht="14.25" customHeight="1">
      <c r="C496" s="1"/>
    </row>
    <row r="497" ht="14.25" customHeight="1">
      <c r="C497" s="1"/>
    </row>
    <row r="498" ht="14.25" customHeight="1">
      <c r="C498" s="1"/>
    </row>
    <row r="499" ht="14.25" customHeight="1">
      <c r="C499" s="1"/>
    </row>
    <row r="500" ht="14.25" customHeight="1">
      <c r="C500" s="1"/>
    </row>
    <row r="501" ht="14.25" customHeight="1">
      <c r="C501" s="1"/>
    </row>
    <row r="502" ht="14.25" customHeight="1">
      <c r="C502" s="1"/>
    </row>
    <row r="503" ht="14.25" customHeight="1">
      <c r="C503" s="1"/>
    </row>
    <row r="504" ht="14.25" customHeight="1">
      <c r="C504" s="1"/>
    </row>
    <row r="505" ht="14.25" customHeight="1">
      <c r="C505" s="1"/>
    </row>
    <row r="506" ht="14.25" customHeight="1">
      <c r="C506" s="1"/>
    </row>
    <row r="507" ht="14.25" customHeight="1">
      <c r="C507" s="1"/>
    </row>
    <row r="508" ht="14.25" customHeight="1">
      <c r="C508" s="1"/>
    </row>
    <row r="509" ht="14.25" customHeight="1">
      <c r="C509" s="1"/>
    </row>
    <row r="510" ht="14.25" customHeight="1">
      <c r="C510" s="1"/>
    </row>
    <row r="511" ht="14.25" customHeight="1">
      <c r="C511" s="1"/>
    </row>
    <row r="512" ht="14.25" customHeight="1">
      <c r="C512" s="1"/>
    </row>
    <row r="513" ht="14.25" customHeight="1">
      <c r="C513" s="1"/>
    </row>
    <row r="514" ht="14.25" customHeight="1">
      <c r="C514" s="1"/>
    </row>
    <row r="515" ht="14.25" customHeight="1">
      <c r="C515" s="1"/>
    </row>
    <row r="516" ht="14.25" customHeight="1">
      <c r="C516" s="1"/>
    </row>
    <row r="517" ht="14.25" customHeight="1">
      <c r="C517" s="1"/>
    </row>
    <row r="518" ht="14.25" customHeight="1">
      <c r="C518" s="1"/>
    </row>
    <row r="519" ht="14.25" customHeight="1">
      <c r="C519" s="1"/>
    </row>
    <row r="520" ht="14.25" customHeight="1">
      <c r="C520" s="1"/>
    </row>
    <row r="521" ht="14.25" customHeight="1">
      <c r="C521" s="1"/>
    </row>
    <row r="522" ht="14.25" customHeight="1">
      <c r="C522" s="1"/>
    </row>
    <row r="523" ht="14.25" customHeight="1">
      <c r="C523" s="1"/>
    </row>
    <row r="524" ht="14.25" customHeight="1">
      <c r="C524" s="1"/>
    </row>
    <row r="525" ht="14.25" customHeight="1">
      <c r="C525" s="1"/>
    </row>
    <row r="526" ht="14.25" customHeight="1">
      <c r="C526" s="1"/>
    </row>
    <row r="527" ht="14.25" customHeight="1">
      <c r="C527" s="1"/>
    </row>
    <row r="528" ht="14.25" customHeight="1">
      <c r="C528" s="1"/>
    </row>
    <row r="529" ht="14.25" customHeight="1">
      <c r="C529" s="1"/>
    </row>
    <row r="530" ht="14.25" customHeight="1">
      <c r="C530" s="1"/>
    </row>
    <row r="531" ht="14.25" customHeight="1">
      <c r="C531" s="1"/>
    </row>
    <row r="532" ht="14.25" customHeight="1">
      <c r="C532" s="1"/>
    </row>
    <row r="533" ht="14.25" customHeight="1">
      <c r="C533" s="1"/>
    </row>
    <row r="534" ht="14.25" customHeight="1">
      <c r="C534" s="1"/>
    </row>
    <row r="535" ht="14.25" customHeight="1">
      <c r="C535" s="1"/>
    </row>
    <row r="536" ht="14.25" customHeight="1">
      <c r="C536" s="1"/>
    </row>
    <row r="537" ht="14.25" customHeight="1">
      <c r="C537" s="1"/>
    </row>
    <row r="538" ht="14.25" customHeight="1">
      <c r="C538" s="1"/>
    </row>
    <row r="539" ht="14.25" customHeight="1">
      <c r="C539" s="1"/>
    </row>
    <row r="540" ht="14.25" customHeight="1">
      <c r="C540" s="1"/>
    </row>
    <row r="541" ht="14.25" customHeight="1">
      <c r="C541" s="1"/>
    </row>
    <row r="542" ht="14.25" customHeight="1">
      <c r="C542" s="1"/>
    </row>
    <row r="543" ht="14.25" customHeight="1">
      <c r="C543" s="1"/>
    </row>
    <row r="544" ht="14.25" customHeight="1">
      <c r="C544" s="1"/>
    </row>
    <row r="545" ht="14.25" customHeight="1">
      <c r="C545" s="1"/>
    </row>
    <row r="546" ht="14.25" customHeight="1">
      <c r="C546" s="1"/>
    </row>
    <row r="547" ht="14.25" customHeight="1">
      <c r="C547" s="1"/>
    </row>
    <row r="548" ht="14.25" customHeight="1">
      <c r="C548" s="1"/>
    </row>
    <row r="549" ht="14.25" customHeight="1">
      <c r="C549" s="1"/>
    </row>
    <row r="550" ht="14.25" customHeight="1">
      <c r="C550" s="1"/>
    </row>
    <row r="551" ht="14.25" customHeight="1">
      <c r="C551" s="1"/>
    </row>
    <row r="552" ht="14.25" customHeight="1">
      <c r="C552" s="1"/>
    </row>
    <row r="553" ht="14.25" customHeight="1">
      <c r="C553" s="1"/>
    </row>
    <row r="554" ht="14.25" customHeight="1">
      <c r="C554" s="1"/>
    </row>
    <row r="555" ht="14.25" customHeight="1">
      <c r="C555" s="1"/>
    </row>
    <row r="556" ht="14.25" customHeight="1">
      <c r="C556" s="1"/>
    </row>
    <row r="557" ht="14.25" customHeight="1">
      <c r="C557" s="1"/>
    </row>
    <row r="558" ht="14.25" customHeight="1">
      <c r="C558" s="1"/>
    </row>
    <row r="559" ht="14.25" customHeight="1">
      <c r="C559" s="1"/>
    </row>
    <row r="560" ht="14.25" customHeight="1">
      <c r="C560" s="1"/>
    </row>
    <row r="561" ht="14.25" customHeight="1">
      <c r="C561" s="1"/>
    </row>
    <row r="562" ht="14.25" customHeight="1">
      <c r="C562" s="1"/>
    </row>
    <row r="563" ht="14.25" customHeight="1">
      <c r="C563" s="1"/>
    </row>
    <row r="564" ht="14.25" customHeight="1">
      <c r="C564" s="1"/>
    </row>
    <row r="565" ht="14.25" customHeight="1">
      <c r="C565" s="1"/>
    </row>
    <row r="566" ht="14.25" customHeight="1">
      <c r="C566" s="1"/>
    </row>
    <row r="567" ht="14.25" customHeight="1">
      <c r="C567" s="1"/>
    </row>
    <row r="568" ht="14.25" customHeight="1">
      <c r="C568" s="1"/>
    </row>
    <row r="569" ht="14.25" customHeight="1">
      <c r="C569" s="1"/>
    </row>
    <row r="570" ht="14.25" customHeight="1">
      <c r="C570" s="1"/>
    </row>
    <row r="571" ht="14.25" customHeight="1">
      <c r="C571" s="1"/>
    </row>
    <row r="572" ht="14.25" customHeight="1">
      <c r="C572" s="1"/>
    </row>
    <row r="573" ht="14.25" customHeight="1">
      <c r="C573" s="1"/>
    </row>
    <row r="574" ht="14.25" customHeight="1">
      <c r="C574" s="1"/>
    </row>
    <row r="575" ht="14.25" customHeight="1">
      <c r="C575" s="1"/>
    </row>
    <row r="576" ht="14.25" customHeight="1">
      <c r="C576" s="1"/>
    </row>
    <row r="577" ht="14.25" customHeight="1">
      <c r="C577" s="1"/>
    </row>
    <row r="578" ht="14.25" customHeight="1">
      <c r="C578" s="1"/>
    </row>
    <row r="579" ht="14.25" customHeight="1">
      <c r="C579" s="1"/>
    </row>
    <row r="580" ht="14.25" customHeight="1">
      <c r="C580" s="1"/>
    </row>
    <row r="581" ht="14.25" customHeight="1">
      <c r="C581" s="1"/>
    </row>
    <row r="582" ht="14.25" customHeight="1">
      <c r="C582" s="1"/>
    </row>
    <row r="583" ht="14.25" customHeight="1">
      <c r="C583" s="1"/>
    </row>
    <row r="584" ht="14.25" customHeight="1">
      <c r="C584" s="1"/>
    </row>
    <row r="585" ht="14.25" customHeight="1">
      <c r="C585" s="1"/>
    </row>
    <row r="586" ht="14.25" customHeight="1">
      <c r="C586" s="1"/>
    </row>
    <row r="587" ht="14.25" customHeight="1">
      <c r="C587" s="1"/>
    </row>
    <row r="588" ht="14.25" customHeight="1">
      <c r="C588" s="1"/>
    </row>
    <row r="589" ht="14.25" customHeight="1">
      <c r="C589" s="1"/>
    </row>
    <row r="590" ht="14.25" customHeight="1">
      <c r="C590" s="1"/>
    </row>
    <row r="591" ht="14.25" customHeight="1">
      <c r="C591" s="1"/>
    </row>
    <row r="592" ht="14.25" customHeight="1">
      <c r="C592" s="1"/>
    </row>
    <row r="593" ht="14.25" customHeight="1">
      <c r="C593" s="1"/>
    </row>
    <row r="594" ht="14.25" customHeight="1">
      <c r="C594" s="1"/>
    </row>
    <row r="595" ht="14.25" customHeight="1">
      <c r="C595" s="1"/>
    </row>
    <row r="596" ht="14.25" customHeight="1">
      <c r="C596" s="1"/>
    </row>
    <row r="597" ht="14.25" customHeight="1">
      <c r="C597" s="1"/>
    </row>
    <row r="598" ht="14.25" customHeight="1">
      <c r="C598" s="1"/>
    </row>
    <row r="599" ht="14.25" customHeight="1">
      <c r="C599" s="1"/>
    </row>
    <row r="600" ht="14.25" customHeight="1">
      <c r="C600" s="1"/>
    </row>
    <row r="601" ht="14.25" customHeight="1">
      <c r="C601" s="1"/>
    </row>
    <row r="602" ht="14.25" customHeight="1">
      <c r="C602" s="1"/>
    </row>
    <row r="603" ht="14.25" customHeight="1">
      <c r="C603" s="1"/>
    </row>
    <row r="604" ht="14.25" customHeight="1">
      <c r="C604" s="1"/>
    </row>
    <row r="605" ht="14.25" customHeight="1">
      <c r="C605" s="1"/>
    </row>
    <row r="606" ht="14.25" customHeight="1">
      <c r="C606" s="1"/>
    </row>
    <row r="607" ht="14.25" customHeight="1">
      <c r="C607" s="1"/>
    </row>
    <row r="608" ht="14.25" customHeight="1">
      <c r="C608" s="1"/>
    </row>
    <row r="609" ht="14.25" customHeight="1">
      <c r="C609" s="1"/>
    </row>
    <row r="610" ht="14.25" customHeight="1">
      <c r="C610" s="1"/>
    </row>
    <row r="611" ht="14.25" customHeight="1">
      <c r="C611" s="1"/>
    </row>
    <row r="612" ht="14.25" customHeight="1">
      <c r="C612" s="1"/>
    </row>
    <row r="613" ht="14.25" customHeight="1">
      <c r="C613" s="1"/>
    </row>
    <row r="614" ht="14.25" customHeight="1">
      <c r="C614" s="1"/>
    </row>
    <row r="615" ht="14.25" customHeight="1">
      <c r="C615" s="1"/>
    </row>
    <row r="616" ht="14.25" customHeight="1">
      <c r="C616" s="1"/>
    </row>
    <row r="617" ht="14.25" customHeight="1">
      <c r="C617" s="1"/>
    </row>
    <row r="618" ht="14.25" customHeight="1">
      <c r="C618" s="1"/>
    </row>
    <row r="619" ht="14.25" customHeight="1">
      <c r="C619" s="1"/>
    </row>
    <row r="620" ht="14.25" customHeight="1">
      <c r="C620" s="1"/>
    </row>
    <row r="621" ht="14.25" customHeight="1">
      <c r="C621" s="1"/>
    </row>
    <row r="622" ht="14.25" customHeight="1">
      <c r="C622" s="1"/>
    </row>
    <row r="623" ht="14.25" customHeight="1">
      <c r="C623" s="1"/>
    </row>
    <row r="624" ht="14.25" customHeight="1">
      <c r="C624" s="1"/>
    </row>
    <row r="625" ht="14.25" customHeight="1">
      <c r="C625" s="1"/>
    </row>
    <row r="626" ht="14.25" customHeight="1">
      <c r="C626" s="1"/>
    </row>
    <row r="627" ht="14.25" customHeight="1">
      <c r="C627" s="1"/>
    </row>
    <row r="628" ht="14.25" customHeight="1">
      <c r="C628" s="1"/>
    </row>
    <row r="629" ht="14.25" customHeight="1">
      <c r="C629" s="1"/>
    </row>
    <row r="630" ht="14.25" customHeight="1">
      <c r="C630" s="1"/>
    </row>
    <row r="631" ht="14.25" customHeight="1">
      <c r="C631" s="1"/>
    </row>
    <row r="632" ht="14.25" customHeight="1">
      <c r="C632" s="1"/>
    </row>
    <row r="633" ht="14.25" customHeight="1">
      <c r="C633" s="1"/>
    </row>
    <row r="634" ht="14.25" customHeight="1">
      <c r="C634" s="1"/>
    </row>
    <row r="635" ht="14.25" customHeight="1">
      <c r="C635" s="1"/>
    </row>
    <row r="636" ht="14.25" customHeight="1">
      <c r="C636" s="1"/>
    </row>
    <row r="637" ht="14.25" customHeight="1">
      <c r="C637" s="1"/>
    </row>
    <row r="638" ht="14.25" customHeight="1">
      <c r="C638" s="1"/>
    </row>
    <row r="639" ht="14.25" customHeight="1">
      <c r="C639" s="1"/>
    </row>
    <row r="640" ht="14.25" customHeight="1">
      <c r="C640" s="1"/>
    </row>
    <row r="641" ht="14.25" customHeight="1">
      <c r="C641" s="1"/>
    </row>
    <row r="642" ht="14.25" customHeight="1">
      <c r="C642" s="1"/>
    </row>
    <row r="643" ht="14.25" customHeight="1">
      <c r="C643" s="1"/>
    </row>
    <row r="644" ht="14.25" customHeight="1">
      <c r="C644" s="1"/>
    </row>
    <row r="645" ht="14.25" customHeight="1">
      <c r="C645" s="1"/>
    </row>
    <row r="646" ht="14.25" customHeight="1">
      <c r="C646" s="1"/>
    </row>
    <row r="647" ht="14.25" customHeight="1">
      <c r="C647" s="1"/>
    </row>
    <row r="648" ht="14.25" customHeight="1">
      <c r="C648" s="1"/>
    </row>
    <row r="649" ht="14.25" customHeight="1">
      <c r="C649" s="1"/>
    </row>
    <row r="650" ht="14.25" customHeight="1">
      <c r="C650" s="1"/>
    </row>
    <row r="651" ht="14.25" customHeight="1">
      <c r="C651" s="1"/>
    </row>
    <row r="652" ht="14.25" customHeight="1">
      <c r="C652" s="1"/>
    </row>
    <row r="653" ht="14.25" customHeight="1">
      <c r="C653" s="1"/>
    </row>
    <row r="654" ht="14.25" customHeight="1">
      <c r="C654" s="1"/>
    </row>
    <row r="655" ht="14.25" customHeight="1">
      <c r="C655" s="1"/>
    </row>
    <row r="656" ht="14.25" customHeight="1">
      <c r="C656" s="1"/>
    </row>
    <row r="657" ht="14.25" customHeight="1">
      <c r="C657" s="1"/>
    </row>
    <row r="658" ht="14.25" customHeight="1">
      <c r="C658" s="1"/>
    </row>
    <row r="659" ht="14.25" customHeight="1">
      <c r="C659" s="1"/>
    </row>
    <row r="660" ht="14.25" customHeight="1">
      <c r="C660" s="1"/>
    </row>
    <row r="661" ht="14.25" customHeight="1">
      <c r="C661" s="1"/>
    </row>
    <row r="662" ht="14.25" customHeight="1">
      <c r="C662" s="1"/>
    </row>
    <row r="663" ht="14.25" customHeight="1">
      <c r="C663" s="1"/>
    </row>
    <row r="664" ht="14.25" customHeight="1">
      <c r="C664" s="1"/>
    </row>
    <row r="665" ht="14.25" customHeight="1">
      <c r="C665" s="1"/>
    </row>
    <row r="666" ht="14.25" customHeight="1">
      <c r="C666" s="1"/>
    </row>
    <row r="667" ht="14.25" customHeight="1">
      <c r="C667" s="1"/>
    </row>
    <row r="668" ht="14.25" customHeight="1">
      <c r="C668" s="1"/>
    </row>
    <row r="669" ht="14.25" customHeight="1">
      <c r="C669" s="1"/>
    </row>
    <row r="670" ht="14.25" customHeight="1">
      <c r="C670" s="1"/>
    </row>
    <row r="671" ht="14.25" customHeight="1">
      <c r="C671" s="1"/>
    </row>
    <row r="672" ht="14.25" customHeight="1">
      <c r="C672" s="1"/>
    </row>
    <row r="673" ht="14.25" customHeight="1">
      <c r="C673" s="1"/>
    </row>
    <row r="674" ht="14.25" customHeight="1">
      <c r="C674" s="1"/>
    </row>
    <row r="675" ht="14.25" customHeight="1">
      <c r="C675" s="1"/>
    </row>
    <row r="676" ht="14.25" customHeight="1">
      <c r="C676" s="1"/>
    </row>
    <row r="677" ht="14.25" customHeight="1">
      <c r="C677" s="1"/>
    </row>
    <row r="678" ht="14.25" customHeight="1">
      <c r="C678" s="1"/>
    </row>
    <row r="679" ht="14.25" customHeight="1">
      <c r="C679" s="1"/>
    </row>
    <row r="680" ht="14.25" customHeight="1">
      <c r="C680" s="1"/>
    </row>
    <row r="681" ht="14.25" customHeight="1">
      <c r="C681" s="1"/>
    </row>
    <row r="682" ht="14.25" customHeight="1">
      <c r="C682" s="1"/>
    </row>
    <row r="683" ht="14.25" customHeight="1">
      <c r="C683" s="1"/>
    </row>
    <row r="684" ht="14.25" customHeight="1">
      <c r="C684" s="1"/>
    </row>
    <row r="685" ht="14.25" customHeight="1">
      <c r="C685" s="1"/>
    </row>
    <row r="686" ht="14.25" customHeight="1">
      <c r="C686" s="1"/>
    </row>
    <row r="687" ht="14.25" customHeight="1">
      <c r="C687" s="1"/>
    </row>
    <row r="688" ht="14.25" customHeight="1">
      <c r="C688" s="1"/>
    </row>
    <row r="689" ht="14.25" customHeight="1">
      <c r="C689" s="1"/>
    </row>
    <row r="690" ht="14.25" customHeight="1">
      <c r="C690" s="1"/>
    </row>
    <row r="691" ht="14.25" customHeight="1">
      <c r="C691" s="1"/>
    </row>
    <row r="692" ht="14.25" customHeight="1">
      <c r="C692" s="1"/>
    </row>
    <row r="693" ht="14.25" customHeight="1">
      <c r="C693" s="1"/>
    </row>
    <row r="694" ht="14.25" customHeight="1">
      <c r="C694" s="1"/>
    </row>
    <row r="695" ht="14.25" customHeight="1">
      <c r="C695" s="1"/>
    </row>
    <row r="696" ht="14.25" customHeight="1">
      <c r="C696" s="1"/>
    </row>
    <row r="697" ht="14.25" customHeight="1">
      <c r="C697" s="1"/>
    </row>
    <row r="698" ht="14.25" customHeight="1">
      <c r="C698" s="1"/>
    </row>
    <row r="699" ht="14.25" customHeight="1">
      <c r="C699" s="1"/>
    </row>
    <row r="700" ht="14.25" customHeight="1">
      <c r="C700" s="1"/>
    </row>
    <row r="701" ht="14.25" customHeight="1">
      <c r="C701" s="1"/>
    </row>
    <row r="702" ht="14.25" customHeight="1">
      <c r="C702" s="1"/>
    </row>
    <row r="703" ht="14.25" customHeight="1">
      <c r="C703" s="1"/>
    </row>
    <row r="704" ht="14.25" customHeight="1">
      <c r="C704" s="1"/>
    </row>
    <row r="705" ht="14.25" customHeight="1">
      <c r="C705" s="1"/>
    </row>
    <row r="706" ht="14.25" customHeight="1">
      <c r="C706" s="1"/>
    </row>
    <row r="707" ht="14.25" customHeight="1">
      <c r="C707" s="1"/>
    </row>
    <row r="708" ht="14.25" customHeight="1">
      <c r="C708" s="1"/>
    </row>
    <row r="709" ht="14.25" customHeight="1">
      <c r="C709" s="1"/>
    </row>
    <row r="710" ht="14.25" customHeight="1">
      <c r="C710" s="1"/>
    </row>
    <row r="711" ht="14.25" customHeight="1">
      <c r="C711" s="1"/>
    </row>
    <row r="712" ht="14.25" customHeight="1">
      <c r="C712" s="1"/>
    </row>
    <row r="713" ht="14.25" customHeight="1">
      <c r="C713" s="1"/>
    </row>
    <row r="714" ht="14.25" customHeight="1">
      <c r="C714" s="1"/>
    </row>
    <row r="715" ht="14.25" customHeight="1">
      <c r="C715" s="1"/>
    </row>
    <row r="716" ht="14.25" customHeight="1">
      <c r="C716" s="1"/>
    </row>
    <row r="717" ht="14.25" customHeight="1">
      <c r="C717" s="1"/>
    </row>
    <row r="718" ht="14.25" customHeight="1">
      <c r="C718" s="1"/>
    </row>
    <row r="719" ht="14.25" customHeight="1">
      <c r="C719" s="1"/>
    </row>
    <row r="720" ht="14.25" customHeight="1">
      <c r="C720" s="1"/>
    </row>
    <row r="721" ht="14.25" customHeight="1">
      <c r="C721" s="1"/>
    </row>
    <row r="722" ht="14.25" customHeight="1">
      <c r="C722" s="1"/>
    </row>
    <row r="723" ht="14.25" customHeight="1">
      <c r="C723" s="1"/>
    </row>
    <row r="724" ht="14.25" customHeight="1">
      <c r="C724" s="1"/>
    </row>
    <row r="725" ht="14.25" customHeight="1">
      <c r="C725" s="1"/>
    </row>
    <row r="726" ht="14.25" customHeight="1">
      <c r="C726" s="1"/>
    </row>
    <row r="727" ht="14.25" customHeight="1">
      <c r="C727" s="1"/>
    </row>
    <row r="728" ht="14.25" customHeight="1">
      <c r="C728" s="1"/>
    </row>
    <row r="729" ht="14.25" customHeight="1">
      <c r="C729" s="1"/>
    </row>
    <row r="730" ht="14.25" customHeight="1">
      <c r="C730" s="1"/>
    </row>
    <row r="731" ht="14.25" customHeight="1">
      <c r="C731" s="1"/>
    </row>
    <row r="732" ht="14.25" customHeight="1">
      <c r="C732" s="1"/>
    </row>
    <row r="733" ht="14.25" customHeight="1">
      <c r="C733" s="1"/>
    </row>
    <row r="734" ht="14.25" customHeight="1">
      <c r="C734" s="1"/>
    </row>
    <row r="735" ht="14.25" customHeight="1">
      <c r="C735" s="1"/>
    </row>
    <row r="736" ht="14.25" customHeight="1">
      <c r="C736" s="1"/>
    </row>
    <row r="737" ht="14.25" customHeight="1">
      <c r="C737" s="1"/>
    </row>
    <row r="738" ht="14.25" customHeight="1">
      <c r="C738" s="1"/>
    </row>
    <row r="739" ht="14.25" customHeight="1">
      <c r="C739" s="1"/>
    </row>
    <row r="740" ht="14.25" customHeight="1">
      <c r="C740" s="1"/>
    </row>
    <row r="741" ht="14.25" customHeight="1">
      <c r="C741" s="1"/>
    </row>
    <row r="742" ht="14.25" customHeight="1">
      <c r="C742" s="1"/>
    </row>
    <row r="743" ht="14.25" customHeight="1">
      <c r="C743" s="1"/>
    </row>
    <row r="744" ht="14.25" customHeight="1">
      <c r="C744" s="1"/>
    </row>
    <row r="745" ht="14.25" customHeight="1">
      <c r="C745" s="1"/>
    </row>
    <row r="746" ht="14.25" customHeight="1">
      <c r="C746" s="1"/>
    </row>
    <row r="747" ht="14.25" customHeight="1">
      <c r="C747" s="1"/>
    </row>
    <row r="748" ht="14.25" customHeight="1">
      <c r="C748" s="1"/>
    </row>
    <row r="749" ht="14.25" customHeight="1">
      <c r="C749" s="1"/>
    </row>
    <row r="750" ht="14.25" customHeight="1">
      <c r="C750" s="1"/>
    </row>
    <row r="751" ht="14.25" customHeight="1">
      <c r="C751" s="1"/>
    </row>
    <row r="752" ht="14.25" customHeight="1">
      <c r="C752" s="1"/>
    </row>
    <row r="753" ht="14.25" customHeight="1">
      <c r="C753" s="1"/>
    </row>
    <row r="754" ht="14.25" customHeight="1">
      <c r="C754" s="1"/>
    </row>
    <row r="755" ht="14.25" customHeight="1">
      <c r="C755" s="1"/>
    </row>
    <row r="756" ht="14.25" customHeight="1">
      <c r="C756" s="1"/>
    </row>
    <row r="757" ht="14.25" customHeight="1">
      <c r="C757" s="1"/>
    </row>
    <row r="758" ht="14.25" customHeight="1">
      <c r="C758" s="1"/>
    </row>
    <row r="759" ht="14.25" customHeight="1">
      <c r="C759" s="1"/>
    </row>
    <row r="760" ht="14.25" customHeight="1">
      <c r="C760" s="1"/>
    </row>
    <row r="761" ht="14.25" customHeight="1">
      <c r="C761" s="1"/>
    </row>
    <row r="762" ht="14.25" customHeight="1">
      <c r="C762" s="1"/>
    </row>
    <row r="763" ht="14.25" customHeight="1">
      <c r="C763" s="1"/>
    </row>
    <row r="764" ht="14.25" customHeight="1">
      <c r="C764" s="1"/>
    </row>
    <row r="765" ht="14.25" customHeight="1">
      <c r="C765" s="1"/>
    </row>
    <row r="766" ht="14.25" customHeight="1">
      <c r="C766" s="1"/>
    </row>
    <row r="767" ht="14.25" customHeight="1">
      <c r="C767" s="1"/>
    </row>
    <row r="768" ht="14.25" customHeight="1">
      <c r="C768" s="1"/>
    </row>
    <row r="769" ht="14.25" customHeight="1">
      <c r="C769" s="1"/>
    </row>
    <row r="770" ht="14.25" customHeight="1">
      <c r="C770" s="1"/>
    </row>
    <row r="771" ht="14.25" customHeight="1">
      <c r="C771" s="1"/>
    </row>
    <row r="772" ht="14.25" customHeight="1">
      <c r="C772" s="1"/>
    </row>
    <row r="773" ht="14.25" customHeight="1">
      <c r="C773" s="1"/>
    </row>
    <row r="774" ht="14.25" customHeight="1">
      <c r="C774" s="1"/>
    </row>
    <row r="775" ht="14.25" customHeight="1">
      <c r="C775" s="1"/>
    </row>
    <row r="776" ht="14.25" customHeight="1">
      <c r="C776" s="1"/>
    </row>
    <row r="777" ht="14.25" customHeight="1">
      <c r="C777" s="1"/>
    </row>
    <row r="778" ht="14.25" customHeight="1">
      <c r="C778" s="1"/>
    </row>
    <row r="779" ht="14.25" customHeight="1">
      <c r="C779" s="1"/>
    </row>
    <row r="780" ht="14.25" customHeight="1">
      <c r="C780" s="1"/>
    </row>
    <row r="781" ht="14.25" customHeight="1">
      <c r="C781" s="1"/>
    </row>
    <row r="782" ht="14.25" customHeight="1">
      <c r="C782" s="1"/>
    </row>
    <row r="783" ht="14.25" customHeight="1">
      <c r="C783" s="1"/>
    </row>
    <row r="784" ht="14.25" customHeight="1">
      <c r="C784" s="1"/>
    </row>
    <row r="785" ht="14.25" customHeight="1">
      <c r="C785" s="1"/>
    </row>
    <row r="786" ht="14.25" customHeight="1">
      <c r="C786" s="1"/>
    </row>
    <row r="787" ht="14.25" customHeight="1">
      <c r="C787" s="1"/>
    </row>
    <row r="788" ht="14.25" customHeight="1">
      <c r="C788" s="1"/>
    </row>
    <row r="789" ht="14.25" customHeight="1">
      <c r="C789" s="1"/>
    </row>
    <row r="790" ht="14.25" customHeight="1">
      <c r="C790" s="1"/>
    </row>
    <row r="791" ht="14.25" customHeight="1">
      <c r="C791" s="1"/>
    </row>
    <row r="792" ht="14.25" customHeight="1">
      <c r="C792" s="1"/>
    </row>
    <row r="793" ht="14.25" customHeight="1">
      <c r="C793" s="1"/>
    </row>
    <row r="794" ht="14.25" customHeight="1">
      <c r="C794" s="1"/>
    </row>
    <row r="795" ht="14.25" customHeight="1">
      <c r="C795" s="1"/>
    </row>
    <row r="796" ht="14.25" customHeight="1">
      <c r="C796" s="1"/>
    </row>
    <row r="797" ht="14.25" customHeight="1">
      <c r="C797" s="1"/>
    </row>
    <row r="798" ht="14.25" customHeight="1">
      <c r="C798" s="1"/>
    </row>
    <row r="799" ht="14.25" customHeight="1">
      <c r="C799" s="1"/>
    </row>
    <row r="800" ht="14.25" customHeight="1">
      <c r="C800" s="1"/>
    </row>
    <row r="801" ht="14.25" customHeight="1">
      <c r="C801" s="1"/>
    </row>
    <row r="802" ht="14.25" customHeight="1">
      <c r="C802" s="1"/>
    </row>
    <row r="803" ht="14.25" customHeight="1">
      <c r="C803" s="1"/>
    </row>
    <row r="804" ht="14.25" customHeight="1">
      <c r="C804" s="1"/>
    </row>
    <row r="805" ht="14.25" customHeight="1">
      <c r="C805" s="1"/>
    </row>
    <row r="806" ht="14.25" customHeight="1">
      <c r="C806" s="1"/>
    </row>
    <row r="807" ht="14.25" customHeight="1">
      <c r="C807" s="1"/>
    </row>
    <row r="808" ht="14.25" customHeight="1">
      <c r="C808" s="1"/>
    </row>
    <row r="809" ht="14.25" customHeight="1">
      <c r="C809" s="1"/>
    </row>
    <row r="810" ht="14.25" customHeight="1">
      <c r="C810" s="1"/>
    </row>
    <row r="811" ht="14.25" customHeight="1">
      <c r="C811" s="1"/>
    </row>
    <row r="812" ht="14.25" customHeight="1">
      <c r="C812" s="1"/>
    </row>
    <row r="813" ht="14.25" customHeight="1">
      <c r="C813" s="1"/>
    </row>
    <row r="814" ht="14.25" customHeight="1">
      <c r="C814" s="1"/>
    </row>
    <row r="815" ht="14.25" customHeight="1">
      <c r="C815" s="1"/>
    </row>
    <row r="816" ht="14.25" customHeight="1">
      <c r="C816" s="1"/>
    </row>
    <row r="817" ht="14.25" customHeight="1">
      <c r="C817" s="1"/>
    </row>
    <row r="818" ht="14.25" customHeight="1">
      <c r="C818" s="1"/>
    </row>
    <row r="819" ht="14.25" customHeight="1">
      <c r="C819" s="1"/>
    </row>
    <row r="820" ht="14.25" customHeight="1">
      <c r="C820" s="1"/>
    </row>
    <row r="821" ht="14.25" customHeight="1">
      <c r="C821" s="1"/>
    </row>
    <row r="822" ht="14.25" customHeight="1">
      <c r="C822" s="1"/>
    </row>
    <row r="823" ht="14.25" customHeight="1">
      <c r="C823" s="1"/>
    </row>
    <row r="824" ht="14.25" customHeight="1">
      <c r="C824" s="1"/>
    </row>
    <row r="825" ht="14.25" customHeight="1">
      <c r="C825" s="1"/>
    </row>
    <row r="826" ht="14.25" customHeight="1">
      <c r="C826" s="1"/>
    </row>
    <row r="827" ht="14.25" customHeight="1">
      <c r="C827" s="1"/>
    </row>
    <row r="828" ht="14.25" customHeight="1">
      <c r="C828" s="1"/>
    </row>
    <row r="829" ht="14.25" customHeight="1">
      <c r="C829" s="1"/>
    </row>
    <row r="830" ht="14.25" customHeight="1">
      <c r="C830" s="1"/>
    </row>
    <row r="831" ht="14.25" customHeight="1">
      <c r="C831" s="1"/>
    </row>
    <row r="832" ht="14.25" customHeight="1">
      <c r="C832" s="1"/>
    </row>
    <row r="833" ht="14.25" customHeight="1">
      <c r="C833" s="1"/>
    </row>
    <row r="834" ht="14.25" customHeight="1">
      <c r="C834" s="1"/>
    </row>
    <row r="835" ht="14.25" customHeight="1">
      <c r="C835" s="1"/>
    </row>
    <row r="836" ht="14.25" customHeight="1">
      <c r="C836" s="1"/>
    </row>
    <row r="837" ht="14.25" customHeight="1">
      <c r="C837" s="1"/>
    </row>
    <row r="838" ht="14.25" customHeight="1">
      <c r="C838" s="1"/>
    </row>
    <row r="839" ht="14.25" customHeight="1">
      <c r="C839" s="1"/>
    </row>
    <row r="840" ht="14.25" customHeight="1">
      <c r="C840" s="1"/>
    </row>
    <row r="841" ht="14.25" customHeight="1">
      <c r="C841" s="1"/>
    </row>
    <row r="842" ht="14.25" customHeight="1">
      <c r="C842" s="1"/>
    </row>
    <row r="843" ht="14.25" customHeight="1">
      <c r="C843" s="1"/>
    </row>
    <row r="844" ht="14.25" customHeight="1">
      <c r="C844" s="1"/>
    </row>
    <row r="845" ht="14.25" customHeight="1">
      <c r="C845" s="1"/>
    </row>
    <row r="846" ht="14.25" customHeight="1">
      <c r="C846" s="1"/>
    </row>
    <row r="847" ht="14.25" customHeight="1">
      <c r="C847" s="1"/>
    </row>
    <row r="848" ht="14.25" customHeight="1">
      <c r="C848" s="1"/>
    </row>
    <row r="849" ht="14.25" customHeight="1">
      <c r="C849" s="1"/>
    </row>
    <row r="850" ht="14.25" customHeight="1">
      <c r="C850" s="1"/>
    </row>
    <row r="851" ht="14.25" customHeight="1">
      <c r="C851" s="1"/>
    </row>
    <row r="852" ht="14.25" customHeight="1">
      <c r="C852" s="1"/>
    </row>
    <row r="853" ht="14.25" customHeight="1">
      <c r="C853" s="1"/>
    </row>
    <row r="854" ht="14.25" customHeight="1">
      <c r="C854" s="1"/>
    </row>
    <row r="855" ht="14.25" customHeight="1">
      <c r="C855" s="1"/>
    </row>
    <row r="856" ht="14.25" customHeight="1">
      <c r="C856" s="1"/>
    </row>
    <row r="857" ht="14.25" customHeight="1">
      <c r="C857" s="1"/>
    </row>
    <row r="858" ht="14.25" customHeight="1">
      <c r="C858" s="1"/>
    </row>
    <row r="859" ht="14.25" customHeight="1">
      <c r="C859" s="1"/>
    </row>
    <row r="860" ht="14.25" customHeight="1">
      <c r="C860" s="1"/>
    </row>
    <row r="861" ht="14.25" customHeight="1">
      <c r="C861" s="1"/>
    </row>
    <row r="862" ht="14.25" customHeight="1">
      <c r="C862" s="1"/>
    </row>
    <row r="863" ht="14.25" customHeight="1">
      <c r="C863" s="1"/>
    </row>
    <row r="864" ht="14.25" customHeight="1">
      <c r="C864" s="1"/>
    </row>
    <row r="865" ht="14.25" customHeight="1">
      <c r="C865" s="1"/>
    </row>
    <row r="866" ht="14.25" customHeight="1">
      <c r="C866" s="1"/>
    </row>
    <row r="867" ht="14.25" customHeight="1">
      <c r="C867" s="1"/>
    </row>
    <row r="868" ht="14.25" customHeight="1">
      <c r="C868" s="1"/>
    </row>
    <row r="869" ht="14.25" customHeight="1">
      <c r="C869" s="1"/>
    </row>
    <row r="870" ht="14.25" customHeight="1">
      <c r="C870" s="1"/>
    </row>
    <row r="871" ht="14.25" customHeight="1">
      <c r="C871" s="1"/>
    </row>
    <row r="872" ht="14.25" customHeight="1">
      <c r="C872" s="1"/>
    </row>
    <row r="873" ht="14.25" customHeight="1">
      <c r="C873" s="1"/>
    </row>
    <row r="874" ht="14.25" customHeight="1">
      <c r="C874" s="1"/>
    </row>
    <row r="875" ht="14.25" customHeight="1">
      <c r="C875" s="1"/>
    </row>
    <row r="876" ht="14.25" customHeight="1">
      <c r="C876" s="1"/>
    </row>
    <row r="877" ht="14.25" customHeight="1">
      <c r="C877" s="1"/>
    </row>
    <row r="878" ht="14.25" customHeight="1">
      <c r="C878" s="1"/>
    </row>
    <row r="879" ht="14.25" customHeight="1">
      <c r="C879" s="1"/>
    </row>
    <row r="880" ht="14.25" customHeight="1">
      <c r="C880" s="1"/>
    </row>
    <row r="881" ht="14.25" customHeight="1">
      <c r="C881" s="1"/>
    </row>
    <row r="882" ht="14.25" customHeight="1">
      <c r="C882" s="1"/>
    </row>
    <row r="883" ht="14.25" customHeight="1">
      <c r="C883" s="1"/>
    </row>
    <row r="884" ht="14.25" customHeight="1">
      <c r="C884" s="1"/>
    </row>
    <row r="885" ht="14.25" customHeight="1">
      <c r="C885" s="1"/>
    </row>
    <row r="886" ht="14.25" customHeight="1">
      <c r="C886" s="1"/>
    </row>
    <row r="887" ht="14.25" customHeight="1">
      <c r="C887" s="1"/>
    </row>
    <row r="888" ht="14.25" customHeight="1">
      <c r="C888" s="1"/>
    </row>
    <row r="889" ht="14.25" customHeight="1">
      <c r="C889" s="1"/>
    </row>
    <row r="890" ht="14.25" customHeight="1">
      <c r="C890" s="1"/>
    </row>
    <row r="891" ht="14.25" customHeight="1">
      <c r="C891" s="1"/>
    </row>
    <row r="892" ht="14.25" customHeight="1">
      <c r="C892" s="1"/>
    </row>
    <row r="893" ht="14.25" customHeight="1">
      <c r="C893" s="1"/>
    </row>
    <row r="894" ht="14.25" customHeight="1">
      <c r="C894" s="1"/>
    </row>
    <row r="895" ht="14.25" customHeight="1">
      <c r="C895" s="1"/>
    </row>
    <row r="896" ht="14.25" customHeight="1">
      <c r="C896" s="1"/>
    </row>
    <row r="897" ht="14.25" customHeight="1">
      <c r="C897" s="1"/>
    </row>
    <row r="898" ht="14.25" customHeight="1">
      <c r="C898" s="1"/>
    </row>
    <row r="899" ht="14.25" customHeight="1">
      <c r="C899" s="1"/>
    </row>
    <row r="900" ht="14.25" customHeight="1">
      <c r="C900" s="1"/>
    </row>
    <row r="901" ht="14.25" customHeight="1">
      <c r="C901" s="1"/>
    </row>
    <row r="902" ht="14.25" customHeight="1">
      <c r="C902" s="1"/>
    </row>
    <row r="903" ht="14.25" customHeight="1">
      <c r="C903" s="1"/>
    </row>
    <row r="904" ht="14.25" customHeight="1">
      <c r="C904" s="1"/>
    </row>
    <row r="905" ht="14.25" customHeight="1">
      <c r="C905" s="1"/>
    </row>
    <row r="906" ht="14.25" customHeight="1">
      <c r="C906" s="1"/>
    </row>
    <row r="907" ht="14.25" customHeight="1">
      <c r="C907" s="1"/>
    </row>
    <row r="908" ht="14.25" customHeight="1">
      <c r="C908" s="1"/>
    </row>
    <row r="909" ht="14.25" customHeight="1">
      <c r="C909" s="1"/>
    </row>
    <row r="910" ht="14.25" customHeight="1">
      <c r="C910" s="1"/>
    </row>
    <row r="911" ht="14.25" customHeight="1">
      <c r="C911" s="1"/>
    </row>
    <row r="912" ht="14.25" customHeight="1">
      <c r="C912" s="1"/>
    </row>
    <row r="913" ht="14.25" customHeight="1">
      <c r="C913" s="1"/>
    </row>
    <row r="914" ht="14.25" customHeight="1">
      <c r="C914" s="1"/>
    </row>
    <row r="915" ht="14.25" customHeight="1">
      <c r="C915" s="1"/>
    </row>
    <row r="916" ht="14.25" customHeight="1">
      <c r="C916" s="1"/>
    </row>
    <row r="917" ht="14.25" customHeight="1">
      <c r="C917" s="1"/>
    </row>
    <row r="918" ht="14.25" customHeight="1">
      <c r="C918" s="1"/>
    </row>
    <row r="919" ht="14.25" customHeight="1">
      <c r="C919" s="1"/>
    </row>
    <row r="920" ht="14.25" customHeight="1">
      <c r="C920" s="1"/>
    </row>
    <row r="921" ht="14.25" customHeight="1">
      <c r="C921" s="1"/>
    </row>
    <row r="922" ht="14.25" customHeight="1">
      <c r="C922" s="1"/>
    </row>
    <row r="923" ht="14.25" customHeight="1">
      <c r="C923" s="1"/>
    </row>
    <row r="924" ht="14.25" customHeight="1">
      <c r="C924" s="1"/>
    </row>
    <row r="925" ht="14.25" customHeight="1">
      <c r="C925" s="1"/>
    </row>
    <row r="926" ht="14.25" customHeight="1">
      <c r="C926" s="1"/>
    </row>
    <row r="927" ht="14.25" customHeight="1">
      <c r="C927" s="1"/>
    </row>
    <row r="928" ht="14.25" customHeight="1">
      <c r="C928" s="1"/>
    </row>
    <row r="929" ht="14.25" customHeight="1">
      <c r="C929" s="1"/>
    </row>
    <row r="930" ht="14.25" customHeight="1">
      <c r="C930" s="1"/>
    </row>
    <row r="931" ht="14.25" customHeight="1">
      <c r="C931" s="1"/>
    </row>
    <row r="932" ht="14.25" customHeight="1">
      <c r="C932" s="1"/>
    </row>
    <row r="933" ht="14.25" customHeight="1">
      <c r="C933" s="1"/>
    </row>
    <row r="934" ht="14.25" customHeight="1">
      <c r="C934" s="1"/>
    </row>
    <row r="935" ht="14.25" customHeight="1">
      <c r="C935" s="1"/>
    </row>
    <row r="936" ht="14.25" customHeight="1">
      <c r="C936" s="1"/>
    </row>
    <row r="937" ht="14.25" customHeight="1">
      <c r="C937" s="1"/>
    </row>
    <row r="938" ht="14.25" customHeight="1">
      <c r="C938" s="1"/>
    </row>
    <row r="939" ht="14.25" customHeight="1">
      <c r="C939" s="1"/>
    </row>
    <row r="940" ht="14.25" customHeight="1">
      <c r="C940" s="1"/>
    </row>
    <row r="941" ht="14.25" customHeight="1">
      <c r="C941" s="1"/>
    </row>
    <row r="942" ht="14.25" customHeight="1">
      <c r="C942" s="1"/>
    </row>
    <row r="943" ht="14.25" customHeight="1">
      <c r="C943" s="1"/>
    </row>
    <row r="944" ht="14.25" customHeight="1">
      <c r="C944" s="1"/>
    </row>
    <row r="945" ht="14.25" customHeight="1">
      <c r="C945" s="1"/>
    </row>
    <row r="946" ht="14.25" customHeight="1">
      <c r="C946" s="1"/>
    </row>
    <row r="947" ht="14.25" customHeight="1">
      <c r="C947" s="1"/>
    </row>
    <row r="948" ht="14.25" customHeight="1">
      <c r="C948" s="1"/>
    </row>
    <row r="949" ht="14.25" customHeight="1">
      <c r="C949" s="1"/>
    </row>
    <row r="950" ht="14.25" customHeight="1">
      <c r="C950" s="1"/>
    </row>
    <row r="951" ht="14.25" customHeight="1">
      <c r="C951" s="1"/>
    </row>
    <row r="952" ht="14.25" customHeight="1">
      <c r="C952" s="1"/>
    </row>
    <row r="953" ht="14.25" customHeight="1">
      <c r="C953" s="1"/>
    </row>
    <row r="954" ht="14.25" customHeight="1">
      <c r="C954" s="1"/>
    </row>
    <row r="955" ht="14.25" customHeight="1">
      <c r="C955" s="1"/>
    </row>
    <row r="956" ht="14.25" customHeight="1">
      <c r="C956" s="1"/>
    </row>
    <row r="957" ht="14.25" customHeight="1">
      <c r="C957" s="1"/>
    </row>
    <row r="958" ht="14.25" customHeight="1">
      <c r="C958" s="1"/>
    </row>
    <row r="959" ht="14.25" customHeight="1">
      <c r="C959" s="1"/>
    </row>
    <row r="960" ht="14.25" customHeight="1">
      <c r="C960" s="1"/>
    </row>
    <row r="961" ht="14.25" customHeight="1">
      <c r="C961" s="1"/>
    </row>
    <row r="962" ht="14.25" customHeight="1">
      <c r="C962" s="1"/>
    </row>
    <row r="963" ht="14.25" customHeight="1">
      <c r="C963" s="1"/>
    </row>
    <row r="964" ht="14.25" customHeight="1">
      <c r="C964" s="1"/>
    </row>
    <row r="965" ht="14.25" customHeight="1">
      <c r="C965" s="1"/>
    </row>
    <row r="966" ht="14.25" customHeight="1">
      <c r="C966" s="1"/>
    </row>
    <row r="967" ht="14.25" customHeight="1">
      <c r="C967" s="1"/>
    </row>
    <row r="968" ht="14.25" customHeight="1">
      <c r="C968" s="1"/>
    </row>
    <row r="969" ht="14.25" customHeight="1">
      <c r="C969" s="1"/>
    </row>
    <row r="970" ht="14.25" customHeight="1">
      <c r="C970" s="1"/>
    </row>
    <row r="971" ht="14.25" customHeight="1">
      <c r="C971" s="1"/>
    </row>
    <row r="972" ht="14.25" customHeight="1">
      <c r="C972" s="1"/>
    </row>
    <row r="973" ht="14.25" customHeight="1">
      <c r="C973" s="1"/>
    </row>
    <row r="974" ht="14.25" customHeight="1">
      <c r="C974" s="1"/>
    </row>
    <row r="975" ht="14.25" customHeight="1">
      <c r="C975" s="1"/>
    </row>
    <row r="976" ht="14.25" customHeight="1">
      <c r="C976" s="1"/>
    </row>
    <row r="977" ht="14.25" customHeight="1">
      <c r="C977" s="1"/>
    </row>
    <row r="978" ht="14.25" customHeight="1">
      <c r="C978" s="1"/>
    </row>
    <row r="979" ht="14.25" customHeight="1">
      <c r="C979" s="1"/>
    </row>
    <row r="980" ht="14.25" customHeight="1">
      <c r="C980" s="1"/>
    </row>
    <row r="981" ht="14.25" customHeight="1">
      <c r="C981" s="1"/>
    </row>
    <row r="982" ht="14.25" customHeight="1">
      <c r="C982" s="1"/>
    </row>
    <row r="983" ht="14.25" customHeight="1">
      <c r="C983" s="1"/>
    </row>
    <row r="984" ht="14.25" customHeight="1">
      <c r="C984" s="1"/>
    </row>
    <row r="985" ht="14.25" customHeight="1">
      <c r="C985" s="1"/>
    </row>
    <row r="986" ht="14.25" customHeight="1">
      <c r="C986" s="1"/>
    </row>
    <row r="987" ht="14.25" customHeight="1">
      <c r="C987" s="1"/>
    </row>
    <row r="988" ht="14.25" customHeight="1">
      <c r="C988" s="1"/>
    </row>
    <row r="989" ht="14.25" customHeight="1">
      <c r="C989" s="1"/>
    </row>
    <row r="990" ht="14.25" customHeight="1">
      <c r="C990" s="1"/>
    </row>
    <row r="991" ht="14.25" customHeight="1">
      <c r="C991" s="1"/>
    </row>
    <row r="992" ht="14.25" customHeight="1">
      <c r="C992" s="1"/>
    </row>
    <row r="993" ht="14.25" customHeight="1">
      <c r="C993" s="1"/>
    </row>
    <row r="994" ht="14.25" customHeight="1">
      <c r="C994" s="1"/>
    </row>
    <row r="995" ht="14.25" customHeight="1">
      <c r="C995" s="1"/>
    </row>
    <row r="996" ht="14.25" customHeight="1">
      <c r="C996" s="1"/>
    </row>
    <row r="997" ht="14.25" customHeight="1">
      <c r="C997" s="1"/>
    </row>
    <row r="998" ht="14.25" customHeight="1">
      <c r="C998" s="1"/>
    </row>
    <row r="999" ht="14.25" customHeight="1">
      <c r="C999" s="1"/>
    </row>
    <row r="1000" ht="14.25" customHeight="1">
      <c r="C1000" s="1"/>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2022-05-12T00:22:53Z</dcterms:created>
</cp:coreProperties>
</file>